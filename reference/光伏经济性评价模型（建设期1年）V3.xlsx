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基本信息" sheetId="1" r:id="rId1"/>
    <sheet name="地区辅助页" sheetId="2" r:id="rId2"/>
    <sheet name="成本费用取值表" sheetId="3" r:id="rId3"/>
    <sheet name="电价电量取值表" sheetId="4" r:id="rId4"/>
    <sheet name="基本参数" sheetId="5" r:id="rId5"/>
    <sheet name="成本费用" sheetId="6" r:id="rId6"/>
    <sheet name="收入和税金" sheetId="7" r:id="rId7"/>
    <sheet name="电价电量计算表" sheetId="8" r:id="rId8"/>
    <sheet name="投资计划与资金筹措表" sheetId="9" r:id="rId9"/>
    <sheet name="总成本费用表" sheetId="10" r:id="rId10"/>
    <sheet name="借款还本付息计划表" sheetId="11" r:id="rId11"/>
    <sheet name="利润与利润分配表" sheetId="12" r:id="rId12"/>
    <sheet name="财务计划现金流量表" sheetId="13" r:id="rId13"/>
    <sheet name="项目投资现金流量表" sheetId="14" r:id="rId14"/>
    <sheet name="项目资本金现金流量表" sheetId="15" r:id="rId15"/>
    <sheet name="资产负债表" sheetId="16" r:id="rId16"/>
    <sheet name="EVA测算表" sheetId="17" r:id="rId17"/>
    <sheet name="财务指标一览表" sheetId="18" r:id="rId18"/>
    <sheet name="逐年财务指标一览表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<sst xmlns="http://schemas.openxmlformats.org/spreadsheetml/2006/main" count="2071" uniqueCount="689">
  <si>
    <t>基本信息</t>
  </si>
  <si>
    <t>序号</t>
  </si>
  <si>
    <t>项目</t>
  </si>
  <si>
    <t>原名称</t>
  </si>
  <si>
    <t>数值</t>
  </si>
  <si>
    <t>单位</t>
  </si>
  <si>
    <t>关键词</t>
  </si>
  <si>
    <t>辅助关键词</t>
  </si>
  <si>
    <t>是否必须</t>
  </si>
  <si>
    <t>选项</t>
  </si>
  <si>
    <t>备注</t>
  </si>
  <si>
    <t>关联指标</t>
  </si>
  <si>
    <t>项目运营起始年</t>
  </si>
  <si>
    <t>-</t>
  </si>
  <si>
    <t>人工填</t>
  </si>
  <si>
    <t>交流测装机容量</t>
  </si>
  <si>
    <t>MW</t>
  </si>
  <si>
    <t>交流侧容量、交流侧装机容量、交流容量、建设装机容量、建设容量</t>
  </si>
  <si>
    <t>是</t>
  </si>
  <si>
    <t>直流侧装机容量或装机/规划容量</t>
  </si>
  <si>
    <t>直流侧装机容量</t>
  </si>
  <si>
    <t>MWp</t>
  </si>
  <si>
    <t>直流侧装机容量、装机容量、规划容量、总容量</t>
  </si>
  <si>
    <t>静态投资</t>
  </si>
  <si>
    <t>万元</t>
  </si>
  <si>
    <t>静态投资、静态</t>
  </si>
  <si>
    <t>万</t>
  </si>
  <si>
    <t>建设期利息</t>
  </si>
  <si>
    <t>可抵扣税金</t>
  </si>
  <si>
    <t>可抵扣、增值税、可抵扣税金、增值税抵扣、可抵扣增值税</t>
  </si>
  <si>
    <t>否</t>
  </si>
  <si>
    <t>首年无衰减利用小时</t>
  </si>
  <si>
    <t>h</t>
  </si>
  <si>
    <t>首年年利用小时数、利用小时数、首年、首年利用小时</t>
  </si>
  <si>
    <t>本项目光伏组件类型</t>
  </si>
  <si>
    <t>组件类型</t>
  </si>
  <si>
    <t>N型、P型、单玻、双玻、多晶、P型单玻、P型双玻、N型单玻、N型双玻、多晶单玻、多晶双玻</t>
  </si>
  <si>
    <t>P型单玻、P型双玻、N型单玻、N型双玻、多晶单玻、多晶双玻</t>
  </si>
  <si>
    <t>所在地区</t>
  </si>
  <si>
    <t>天津</t>
  </si>
  <si>
    <t>发电项目、项目所在地、本工程位于、本项目位于、省、市</t>
  </si>
  <si>
    <t>北京、天津、河北冀北地区、河北冀南地区、山西、辽宁、吉林延边自治州外地区、黑龙江、上海、江苏、浙江、安徽、福建、江西赣州市外地区、山东、河南、湖北恩施自治州外地区、湖南湘西自治州外地区、广东、海南、江西赣州市、湖南湘西自治州、湖北恩施自治州、吉林延边自治州、广西、内蒙古蒙东地区、内蒙古蒙西地区、重庆、四川、贵州、云南、西藏、陕西、甘肃、青海、宁夏、新疆</t>
  </si>
  <si>
    <t>电价电量取值标准</t>
  </si>
  <si>
    <t>标准1、标准2</t>
  </si>
  <si>
    <t>运维方式</t>
  </si>
  <si>
    <t>自主运维</t>
  </si>
  <si>
    <t>委托运维、外委、运维</t>
  </si>
  <si>
    <t>自主运维、委托运维</t>
  </si>
  <si>
    <t>本项目光伏组件运行方式</t>
  </si>
  <si>
    <t>跟踪方式</t>
  </si>
  <si>
    <t>固定式、固定可调、跟踪式</t>
  </si>
  <si>
    <t>本项目、本工程</t>
  </si>
  <si>
    <t>建设/项目地的地形类型</t>
  </si>
  <si>
    <t>地质环境</t>
  </si>
  <si>
    <t>地形、地貌、地形地貌、平原、山地、丘陵、水面、鱼塘、渔塘</t>
  </si>
  <si>
    <t>本项目、建设场地、本工程、建设地</t>
  </si>
  <si>
    <t>平原、山地、水面</t>
  </si>
  <si>
    <t>集电线路长度</t>
  </si>
  <si>
    <t>km</t>
  </si>
  <si>
    <t>集电线路、35kv</t>
  </si>
  <si>
    <t>35kv</t>
  </si>
  <si>
    <t>光伏子阵容量</t>
  </si>
  <si>
    <t>光伏子阵</t>
  </si>
  <si>
    <t>2MW以上</t>
  </si>
  <si>
    <t>光伏子阵、光伏阵列、光伏单元、光伏发电单元</t>
  </si>
  <si>
    <t>项目海拔高度</t>
  </si>
  <si>
    <t>海拔高度</t>
  </si>
  <si>
    <t>m</t>
  </si>
  <si>
    <t>海拔、高程</t>
  </si>
  <si>
    <t>新建、配套建设升压站（变电站）电压等级</t>
  </si>
  <si>
    <t>升压变电站</t>
  </si>
  <si>
    <t>kv</t>
  </si>
  <si>
    <t>升压站、变电站、开关站</t>
  </si>
  <si>
    <t>新建</t>
  </si>
  <si>
    <t>其他费用1</t>
  </si>
  <si>
    <t>万元/年</t>
  </si>
  <si>
    <t>房屋租金、屋顶租金、房屋租赁、屋顶租赁</t>
  </si>
  <si>
    <t>其他费用2</t>
  </si>
  <si>
    <t>土地租金、土地租赁</t>
  </si>
  <si>
    <t>其他费用3</t>
  </si>
  <si>
    <t>储能租金、储能租赁</t>
  </si>
  <si>
    <t>平均上网电价</t>
  </si>
  <si>
    <r>
      <rPr>
        <sz val="10"/>
        <color theme="1"/>
        <rFont val="宋体"/>
        <charset val="134"/>
      </rPr>
      <t>元</t>
    </r>
    <r>
      <rPr>
        <sz val="12"/>
        <color theme="1"/>
        <rFont val="TimesNewRomanPSMT"/>
        <charset val="134"/>
      </rPr>
      <t xml:space="preserve">/(kW•h) </t>
    </r>
  </si>
  <si>
    <t>电价、上网电价</t>
  </si>
  <si>
    <r>
      <rPr>
        <sz val="8"/>
        <color theme="1"/>
        <rFont val="宋体"/>
        <charset val="134"/>
      </rPr>
      <t>元</t>
    </r>
    <r>
      <rPr>
        <sz val="12"/>
        <color theme="1"/>
        <rFont val="TimesNewRomanPSMT"/>
        <charset val="134"/>
      </rPr>
      <t xml:space="preserve">/(kW•h) </t>
    </r>
  </si>
  <si>
    <t>平均弃电率</t>
  </si>
  <si>
    <t>%</t>
  </si>
  <si>
    <t>弃电</t>
  </si>
  <si>
    <t>填写地区</t>
  </si>
  <si>
    <t>电价电量地区</t>
  </si>
  <si>
    <t>人工成本区域</t>
  </si>
  <si>
    <t>北京</t>
  </si>
  <si>
    <t>华北</t>
  </si>
  <si>
    <t>河北冀北地区</t>
  </si>
  <si>
    <t>冀北</t>
  </si>
  <si>
    <t>河北冀南地区</t>
  </si>
  <si>
    <t>冀南</t>
  </si>
  <si>
    <t>山西</t>
  </si>
  <si>
    <t>辽宁</t>
  </si>
  <si>
    <t>东北</t>
  </si>
  <si>
    <t>吉林延边自治州外地区</t>
  </si>
  <si>
    <t>吉林</t>
  </si>
  <si>
    <t>黑龙江</t>
  </si>
  <si>
    <t>上海</t>
  </si>
  <si>
    <t>华东</t>
  </si>
  <si>
    <t>江苏</t>
  </si>
  <si>
    <t>浙江</t>
  </si>
  <si>
    <t>安徽</t>
  </si>
  <si>
    <t>福建</t>
  </si>
  <si>
    <t>江西赣州市外地区</t>
  </si>
  <si>
    <t>江西</t>
  </si>
  <si>
    <t>山东</t>
  </si>
  <si>
    <t>河南</t>
  </si>
  <si>
    <t>华中</t>
  </si>
  <si>
    <t>湖北恩施自治州外地区</t>
  </si>
  <si>
    <t>湖北</t>
  </si>
  <si>
    <t>湖南湘西自治州外地区</t>
  </si>
  <si>
    <t>湖南</t>
  </si>
  <si>
    <t>广东</t>
  </si>
  <si>
    <t>华南</t>
  </si>
  <si>
    <t>海南</t>
  </si>
  <si>
    <t>江西赣州市</t>
  </si>
  <si>
    <t>湖南湘西自治州</t>
  </si>
  <si>
    <t>湖北恩施自治州</t>
  </si>
  <si>
    <t>吉林延边自治州</t>
  </si>
  <si>
    <t>广西</t>
  </si>
  <si>
    <t>内蒙古蒙东地区</t>
  </si>
  <si>
    <t>蒙东</t>
  </si>
  <si>
    <t>内蒙古蒙西地区</t>
  </si>
  <si>
    <t>蒙西</t>
  </si>
  <si>
    <t>重庆</t>
  </si>
  <si>
    <t>西南</t>
  </si>
  <si>
    <t>四川</t>
  </si>
  <si>
    <t>贵州</t>
  </si>
  <si>
    <t>云南</t>
  </si>
  <si>
    <t>西藏</t>
  </si>
  <si>
    <t>陕西</t>
  </si>
  <si>
    <t>西北</t>
  </si>
  <si>
    <t>甘肃</t>
  </si>
  <si>
    <t>青海</t>
  </si>
  <si>
    <t>宁夏</t>
  </si>
  <si>
    <t>新疆</t>
  </si>
  <si>
    <t>修理费</t>
  </si>
  <si>
    <t>项目名称</t>
  </si>
  <si>
    <t>建议值(元/KW)</t>
  </si>
  <si>
    <t>按装机容量修正（兆瓦）</t>
  </si>
  <si>
    <t>集电线路长度（公里）</t>
  </si>
  <si>
    <t>按组件类型修正</t>
  </si>
  <si>
    <t>按跟踪方式修正</t>
  </si>
  <si>
    <t>按地质环境修正</t>
  </si>
  <si>
    <t>按上年度是否亏损修正</t>
  </si>
  <si>
    <t>按是否出质保期修正</t>
  </si>
  <si>
    <t>检修业务是否外委</t>
  </si>
  <si>
    <t>10（含）以下</t>
  </si>
  <si>
    <t>10-50（含）</t>
  </si>
  <si>
    <t>50-100（含）</t>
  </si>
  <si>
    <t>100-300（含）</t>
  </si>
  <si>
    <t>300以上</t>
  </si>
  <si>
    <t>20（含）以下</t>
  </si>
  <si>
    <t>20-50（含）</t>
  </si>
  <si>
    <t>单晶</t>
  </si>
  <si>
    <t>多晶</t>
  </si>
  <si>
    <t>薄膜</t>
  </si>
  <si>
    <t>固定</t>
  </si>
  <si>
    <t>斜/平单轴</t>
  </si>
  <si>
    <t>平原及其它</t>
  </si>
  <si>
    <t>山地丘陵及沙地</t>
  </si>
  <si>
    <t>屋顶</t>
  </si>
  <si>
    <t>水面</t>
  </si>
  <si>
    <t>亏损企业</t>
  </si>
  <si>
    <t>赢利企业</t>
  </si>
  <si>
    <t>期内</t>
  </si>
  <si>
    <t>期外</t>
  </si>
  <si>
    <t>发电设备</t>
  </si>
  <si>
    <t>升压站</t>
  </si>
  <si>
    <t>中控室</t>
  </si>
  <si>
    <t>输配电及线路</t>
  </si>
  <si>
    <t>生产非生产建筑物</t>
  </si>
  <si>
    <t>小计</t>
  </si>
  <si>
    <t>XXMW维修费</t>
  </si>
  <si>
    <t>质保期内</t>
  </si>
  <si>
    <t>质保期外</t>
  </si>
  <si>
    <t>质保期</t>
  </si>
  <si>
    <t>材料费</t>
  </si>
  <si>
    <t>按机组类型修正</t>
  </si>
  <si>
    <t>日常维护及运行外委</t>
  </si>
  <si>
    <t>平/斜单轴</t>
  </si>
  <si>
    <t>基准值</t>
  </si>
  <si>
    <t>XXMW材料费</t>
  </si>
  <si>
    <t>其他费用</t>
  </si>
  <si>
    <t>建议值
(元/KW)</t>
  </si>
  <si>
    <t>全场外委</t>
  </si>
  <si>
    <t>XXMW其他费用</t>
  </si>
  <si>
    <t>委托运维费</t>
  </si>
  <si>
    <t>建议值(元/kW)</t>
  </si>
  <si>
    <t>光伏子阵修正</t>
  </si>
  <si>
    <t>按容配比修正</t>
  </si>
  <si>
    <t>按海拔高度修正</t>
  </si>
  <si>
    <t>是否含升压变电站</t>
  </si>
  <si>
    <t>投产年限修正</t>
  </si>
  <si>
    <t>10(含）以下</t>
  </si>
  <si>
    <t>10-20（含）</t>
  </si>
  <si>
    <t>20-40（含）</t>
  </si>
  <si>
    <t>40-60（含）</t>
  </si>
  <si>
    <t>60-80（含）</t>
  </si>
  <si>
    <t>80-100（含）</t>
  </si>
  <si>
    <t>100以上</t>
  </si>
  <si>
    <t>1MW以下（含）</t>
  </si>
  <si>
    <t>1MW-2MW（含）</t>
  </si>
  <si>
    <t>1.05（含）以下</t>
  </si>
  <si>
    <t>1.05以上</t>
  </si>
  <si>
    <t>固定式</t>
  </si>
  <si>
    <t>固定可调</t>
  </si>
  <si>
    <t>跟踪式</t>
  </si>
  <si>
    <t>山地、戈壁、沙漠、水面、屋顶</t>
  </si>
  <si>
    <t>海拔2500米及以上</t>
  </si>
  <si>
    <t>海拔2500米以下</t>
  </si>
  <si>
    <t>10-35kV升压站（无主变）</t>
  </si>
  <si>
    <t>10-35kV升压站（含主变）</t>
  </si>
  <si>
    <t>66kV及以上升压站</t>
  </si>
  <si>
    <t>220kV及以上升压站</t>
  </si>
  <si>
    <t>全容量投运5年以内（含）</t>
  </si>
  <si>
    <t>全容量投运5年-10年（含）</t>
  </si>
  <si>
    <t>全容量投运10年-15年（含）</t>
  </si>
  <si>
    <t>全容量投运15年-20年（含）</t>
  </si>
  <si>
    <t>全容量投运20年以上</t>
  </si>
  <si>
    <t>光伏电站</t>
  </si>
  <si>
    <t>XXMW委托运维1-5年</t>
  </si>
  <si>
    <t>6-10年</t>
  </si>
  <si>
    <t>11-15年</t>
  </si>
  <si>
    <t>16-20年</t>
  </si>
  <si>
    <t>20年以上</t>
  </si>
  <si>
    <t>人工取值</t>
  </si>
  <si>
    <t>人工成本</t>
  </si>
  <si>
    <t>取值</t>
  </si>
  <si>
    <t>运维定员</t>
  </si>
  <si>
    <t>集中监控模式（MW)</t>
  </si>
  <si>
    <t>现地监控模式（MW)</t>
  </si>
  <si>
    <t>委托运维模式（MW）</t>
  </si>
  <si>
    <t>50以下</t>
  </si>
  <si>
    <t>50-99</t>
  </si>
  <si>
    <t>100-199</t>
  </si>
  <si>
    <t>200以上</t>
  </si>
  <si>
    <t>30（含）以下</t>
  </si>
  <si>
    <t>30-100</t>
  </si>
  <si>
    <t>100-500</t>
  </si>
  <si>
    <t>500-1000</t>
  </si>
  <si>
    <t>1000以上</t>
  </si>
  <si>
    <t>各省光伏电价、弃电率参考值（标准1）</t>
  </si>
  <si>
    <t>各省光伏电价、弃电率参考值（标准2）</t>
  </si>
  <si>
    <t>省份</t>
  </si>
  <si>
    <t>电价参考值</t>
  </si>
  <si>
    <t>弃电率参考值</t>
  </si>
  <si>
    <t>2024年电价</t>
  </si>
  <si>
    <t>2025年预测电价</t>
  </si>
  <si>
    <t>2026年预测电价</t>
  </si>
  <si>
    <t>2027年预测电价</t>
  </si>
  <si>
    <t>2028年预测电价</t>
  </si>
  <si>
    <t>2029年预测电价</t>
  </si>
  <si>
    <t>2030年预测电价</t>
  </si>
  <si>
    <t>2024年弃电</t>
  </si>
  <si>
    <t>2025年预测弃电</t>
  </si>
  <si>
    <t>2026年预测弃电</t>
  </si>
  <si>
    <t>2027年预测弃电</t>
  </si>
  <si>
    <t>2028年预测弃电</t>
  </si>
  <si>
    <t>2029年预测弃电</t>
  </si>
  <si>
    <t>2030年预测弃电</t>
  </si>
  <si>
    <t>年限和装机容量</t>
  </si>
  <si>
    <t>财务指标一览表</t>
  </si>
  <si>
    <t>计算期（年）</t>
  </si>
  <si>
    <t>年</t>
  </si>
  <si>
    <t>建设期（年）</t>
  </si>
  <si>
    <t>元/kWh</t>
  </si>
  <si>
    <t>实际运行期（年）</t>
  </si>
  <si>
    <t>项目类型</t>
  </si>
  <si>
    <t>光伏</t>
  </si>
  <si>
    <t>交流测装机容量（MW）</t>
  </si>
  <si>
    <t>年份</t>
  </si>
  <si>
    <t>第1年</t>
  </si>
  <si>
    <t>第2年</t>
  </si>
  <si>
    <t>第3年</t>
  </si>
  <si>
    <t>第4年</t>
  </si>
  <si>
    <t>第5年</t>
  </si>
  <si>
    <t>直流侧装机容量（MWp）</t>
  </si>
  <si>
    <t>前五年利润总额</t>
  </si>
  <si>
    <t>运营期起始年</t>
  </si>
  <si>
    <t>前五年EVA</t>
  </si>
  <si>
    <t>第一年施工月数</t>
  </si>
  <si>
    <t>前五年ROE</t>
  </si>
  <si>
    <t>最后一年施工月数</t>
  </si>
  <si>
    <t>其他指标</t>
  </si>
  <si>
    <t>建设期投资</t>
  </si>
  <si>
    <t>总投资（含流动资金）</t>
  </si>
  <si>
    <t>动态投资</t>
  </si>
  <si>
    <t>动态千瓦造价</t>
  </si>
  <si>
    <t>年均理论利用小时</t>
  </si>
  <si>
    <t>弃电率（全寿期平均值）</t>
  </si>
  <si>
    <t>电价（全寿期平均值）</t>
  </si>
  <si>
    <t xml:space="preserve">  其中：无形资产（万元）</t>
  </si>
  <si>
    <t xml:space="preserve">  其中：其他资产（万元）</t>
  </si>
  <si>
    <t>可抵扣税金（万元）</t>
  </si>
  <si>
    <t>增值税部分</t>
  </si>
  <si>
    <t>申请一次性留底退税</t>
  </si>
  <si>
    <t>资本金比例（%）</t>
  </si>
  <si>
    <t>建设期利息计算方式</t>
  </si>
  <si>
    <t>手动输入</t>
  </si>
  <si>
    <t>建设期利息（万元，手动输入）</t>
  </si>
  <si>
    <t>建设期利息（万元，最终）</t>
  </si>
  <si>
    <t>基准收益率</t>
  </si>
  <si>
    <t>资本金基准收益率（%）</t>
  </si>
  <si>
    <t>行业基准收益率（所得税前）（%）</t>
  </si>
  <si>
    <t>行业基准收益率（所得税后）（%）</t>
  </si>
  <si>
    <t>资本成本率（%）</t>
  </si>
  <si>
    <t>wacc值，融资成本，借贷成本</t>
  </si>
  <si>
    <t>流动资金</t>
  </si>
  <si>
    <t>单位千瓦指标（元/kW）</t>
  </si>
  <si>
    <t>自有流动资金比例（%）</t>
  </si>
  <si>
    <t>流动资金贷款利率（%）</t>
  </si>
  <si>
    <t>短期贷款</t>
  </si>
  <si>
    <t>短期贷款利率（%）</t>
  </si>
  <si>
    <t>弥补亏损还长贷</t>
  </si>
  <si>
    <t>长期借款</t>
  </si>
  <si>
    <t>预定还款期（年）</t>
  </si>
  <si>
    <t>运营期宽限（年）</t>
  </si>
  <si>
    <t>还本付息方式</t>
  </si>
  <si>
    <t>等额还本利息照付</t>
  </si>
  <si>
    <t>长期贷款利率（%）</t>
  </si>
  <si>
    <t>第6年</t>
  </si>
  <si>
    <t>第7年</t>
  </si>
  <si>
    <t>第8年</t>
  </si>
  <si>
    <t>第9年</t>
  </si>
  <si>
    <t>第10年</t>
  </si>
  <si>
    <t>第11年</t>
  </si>
  <si>
    <t>第12年</t>
  </si>
  <si>
    <t>第13年</t>
  </si>
  <si>
    <t>第14年</t>
  </si>
  <si>
    <t>第15年</t>
  </si>
  <si>
    <t>第16年</t>
  </si>
  <si>
    <t>第17年</t>
  </si>
  <si>
    <t>第18年</t>
  </si>
  <si>
    <t>第19年</t>
  </si>
  <si>
    <t>第20年</t>
  </si>
  <si>
    <t>第21年</t>
  </si>
  <si>
    <t>第22年</t>
  </si>
  <si>
    <t>第23年</t>
  </si>
  <si>
    <t>第24年</t>
  </si>
  <si>
    <t>第25年</t>
  </si>
  <si>
    <t>第26年</t>
  </si>
  <si>
    <t>约定还款</t>
  </si>
  <si>
    <t>折旧费</t>
  </si>
  <si>
    <t>计算方式（选择）</t>
  </si>
  <si>
    <t>年限折旧法</t>
  </si>
  <si>
    <t>残值率</t>
  </si>
  <si>
    <t>折旧年限</t>
  </si>
  <si>
    <t>折旧费：年限折旧法</t>
  </si>
  <si>
    <t>折旧费：手动输入</t>
  </si>
  <si>
    <t>最终折旧费</t>
  </si>
  <si>
    <t>维修费</t>
  </si>
  <si>
    <t>按比例</t>
  </si>
  <si>
    <t>按费率</t>
  </si>
  <si>
    <t>元/kW</t>
  </si>
  <si>
    <t>最终维修费</t>
  </si>
  <si>
    <t>人工工资及福利</t>
  </si>
  <si>
    <t>自动计算</t>
  </si>
  <si>
    <t>人员数量</t>
  </si>
  <si>
    <t>人</t>
  </si>
  <si>
    <t>人工年平均工资</t>
  </si>
  <si>
    <t>福利费及其他</t>
  </si>
  <si>
    <t>最终人工费</t>
  </si>
  <si>
    <t>保险费</t>
  </si>
  <si>
    <t>按固定资产原值</t>
  </si>
  <si>
    <t>费率</t>
  </si>
  <si>
    <t>按固定资产净值</t>
  </si>
  <si>
    <t>最终保险费</t>
  </si>
  <si>
    <t>最终材料费</t>
  </si>
  <si>
    <t>最终委托运维费</t>
  </si>
  <si>
    <t>摊销费</t>
  </si>
  <si>
    <t>无形资产摊销</t>
  </si>
  <si>
    <t>其他资产摊销</t>
  </si>
  <si>
    <t>最终摊销费</t>
  </si>
  <si>
    <t>其他费用4</t>
  </si>
  <si>
    <t>其他费用5</t>
  </si>
  <si>
    <t>最终其他费用</t>
  </si>
  <si>
    <t>进项税</t>
  </si>
  <si>
    <t>进项税1</t>
  </si>
  <si>
    <t>进项税2</t>
  </si>
  <si>
    <t>进项税3</t>
  </si>
  <si>
    <t>进项税4</t>
  </si>
  <si>
    <t>进项税5</t>
  </si>
  <si>
    <t>进项税合计</t>
  </si>
  <si>
    <t>长期借款利息（辅助行）</t>
  </si>
  <si>
    <t>借款额</t>
  </si>
  <si>
    <t>等额还本利息照付：年初借款余额</t>
  </si>
  <si>
    <t>本年还本</t>
  </si>
  <si>
    <t>利息</t>
  </si>
  <si>
    <t>等额本息：每年还本付息总额</t>
  </si>
  <si>
    <t>年初借款余额</t>
  </si>
  <si>
    <t>约定还款：年初借款余额</t>
  </si>
  <si>
    <t>在建工程</t>
  </si>
  <si>
    <t>固定资产原值</t>
  </si>
  <si>
    <t>固定资产净值</t>
  </si>
  <si>
    <t>发电量</t>
  </si>
  <si>
    <t>发电量计算方式</t>
  </si>
  <si>
    <t>首年无衰减无弃电利用小时</t>
  </si>
  <si>
    <t>小时</t>
  </si>
  <si>
    <t>发电量系数计算方式</t>
  </si>
  <si>
    <t>手动输入发电量系数</t>
  </si>
  <si>
    <t>弃电率计算方式</t>
  </si>
  <si>
    <t>手动输入弃电率</t>
  </si>
  <si>
    <t>手动输入上网电量</t>
  </si>
  <si>
    <t>MWh</t>
  </si>
  <si>
    <t>最终上网电量</t>
  </si>
  <si>
    <t>应付利润比例</t>
  </si>
  <si>
    <t>增值税</t>
  </si>
  <si>
    <t>增值税政策</t>
  </si>
  <si>
    <t>即征即退50%</t>
  </si>
  <si>
    <t>最终税率</t>
  </si>
  <si>
    <t>企业所得税</t>
  </si>
  <si>
    <t>企业所得税政策</t>
  </si>
  <si>
    <t>西部大开发</t>
  </si>
  <si>
    <t>城市维护建设税</t>
  </si>
  <si>
    <t>教育费附加</t>
  </si>
  <si>
    <t>法定盈余公积金比例</t>
  </si>
  <si>
    <t>最终比例</t>
  </si>
  <si>
    <t>任意盈余公积金比例</t>
  </si>
  <si>
    <t>其他收入（应交所得税）</t>
  </si>
  <si>
    <t>一次性留抵退税</t>
  </si>
  <si>
    <t>增值税率</t>
  </si>
  <si>
    <t>收入2金额</t>
  </si>
  <si>
    <t>收入2增值税率</t>
  </si>
  <si>
    <t>收入3金额</t>
  </si>
  <si>
    <t>收入3增值税率</t>
  </si>
  <si>
    <t>收入4金额</t>
  </si>
  <si>
    <t>收入4增值税率</t>
  </si>
  <si>
    <t>收入5金额</t>
  </si>
  <si>
    <t>收入5增值税率</t>
  </si>
  <si>
    <t>最终收入合计（应税）含增值税</t>
  </si>
  <si>
    <t>最终收入合计（应税）不含增值税</t>
  </si>
  <si>
    <t>其他收入（免交所得税）</t>
  </si>
  <si>
    <t>收入1金额</t>
  </si>
  <si>
    <t>收入1增值税率</t>
  </si>
  <si>
    <t>最终收入合计（免税）含增值税</t>
  </si>
  <si>
    <t>最终收入合计（免税）不含增值税</t>
  </si>
  <si>
    <t>P型单玻组件（首年2%，后续每年0.55%）</t>
  </si>
  <si>
    <t>P型双玻组件（首年2%，后续每年0.5%）</t>
  </si>
  <si>
    <t>N型单玻组件（首年1%，后续每年0.45%）</t>
  </si>
  <si>
    <t>N型双玻组件（首年1%，后续每年0.4%）</t>
  </si>
  <si>
    <t>多晶单玻组件（首年2%，后续每年0.55%）</t>
  </si>
  <si>
    <t>多晶双玻组件（首年2%，后续每年0.5%）</t>
  </si>
  <si>
    <t>电价</t>
  </si>
  <si>
    <t>电价取值标准</t>
  </si>
  <si>
    <t>标准1</t>
  </si>
  <si>
    <t>手动输入电价算法</t>
  </si>
  <si>
    <t>综合电价</t>
  </si>
  <si>
    <t>综合结算电价（直接手动输入）</t>
  </si>
  <si>
    <t>分项电价1</t>
  </si>
  <si>
    <t>占比（%）</t>
  </si>
  <si>
    <t>分项电价2</t>
  </si>
  <si>
    <t>分项电价3</t>
  </si>
  <si>
    <t>综合结算电价（根据分项加权平均）</t>
  </si>
  <si>
    <t>综合结算电价（最终）</t>
  </si>
  <si>
    <t>上网利用小时数</t>
  </si>
  <si>
    <t>分项发电量占总发电量比例</t>
  </si>
  <si>
    <t>投资计划与资金筹措表</t>
  </si>
  <si>
    <t>人民币单位：万元</t>
  </si>
  <si>
    <t>合计</t>
  </si>
  <si>
    <t>计算期</t>
  </si>
  <si>
    <t>总投资</t>
  </si>
  <si>
    <t>建设投资</t>
  </si>
  <si>
    <t>资金筹措</t>
  </si>
  <si>
    <t>资本金（资金筹措）</t>
  </si>
  <si>
    <t>2.1.1</t>
  </si>
  <si>
    <t>建设投资资本金</t>
  </si>
  <si>
    <t>2.1.2</t>
  </si>
  <si>
    <t>流动资金资本金</t>
  </si>
  <si>
    <t>借款</t>
  </si>
  <si>
    <t>2.2.1</t>
  </si>
  <si>
    <t>长期借款本金</t>
  </si>
  <si>
    <t>2.2.2</t>
  </si>
  <si>
    <t>流动资金借款</t>
  </si>
  <si>
    <t>总成本费用表</t>
  </si>
  <si>
    <t>建设期</t>
  </si>
  <si>
    <t>运行期</t>
  </si>
  <si>
    <t>工资及福利</t>
  </si>
  <si>
    <t>利息支出</t>
  </si>
  <si>
    <t>总成本费用</t>
  </si>
  <si>
    <t>经营成本</t>
  </si>
  <si>
    <t>固定成本(无材料费)</t>
  </si>
  <si>
    <t>可变成本</t>
  </si>
  <si>
    <t>借款还本付息计划表</t>
  </si>
  <si>
    <t>当期还本付息</t>
  </si>
  <si>
    <t>1.2.1</t>
  </si>
  <si>
    <t>1.2.2</t>
  </si>
  <si>
    <t>本年付息</t>
  </si>
  <si>
    <t>期末借款余额</t>
  </si>
  <si>
    <t>流动资金借款累计</t>
  </si>
  <si>
    <t>流动资金利息</t>
  </si>
  <si>
    <t>偿还流动资金借款本金</t>
  </si>
  <si>
    <t>流动资金借款余额</t>
  </si>
  <si>
    <t>年初短期借款余额</t>
  </si>
  <si>
    <t>本期新增短期借款</t>
  </si>
  <si>
    <t>偿还短期借款本金</t>
  </si>
  <si>
    <t>短期借款利息</t>
  </si>
  <si>
    <t>短期借款期末余额</t>
  </si>
  <si>
    <t>计算指标</t>
  </si>
  <si>
    <t>利息备付率(%)</t>
  </si>
  <si>
    <t>偿债备付率(%)</t>
  </si>
  <si>
    <t>辅助行</t>
  </si>
  <si>
    <t>累计盈余资金</t>
  </si>
  <si>
    <t>利润与利润分配表</t>
  </si>
  <si>
    <t>上网电量（MWh）</t>
  </si>
  <si>
    <t>电价（含增值税）（元/kWh）</t>
  </si>
  <si>
    <t>电价（不含增值税）（元/kWh）</t>
  </si>
  <si>
    <t>销售收入</t>
  </si>
  <si>
    <t>售电收入</t>
  </si>
  <si>
    <t>销售税金附加</t>
  </si>
  <si>
    <t>增值税返还(即征即退）</t>
  </si>
  <si>
    <t>利润总额</t>
  </si>
  <si>
    <t>弥补以前年度亏损</t>
  </si>
  <si>
    <t>应纳税所得额</t>
  </si>
  <si>
    <t>所得税</t>
  </si>
  <si>
    <t>净利润（8-11+12）</t>
  </si>
  <si>
    <t>期初未分配的利润(去年末未分配利润）</t>
  </si>
  <si>
    <t>可供分配的利润（13+14）</t>
  </si>
  <si>
    <t>提取法定盈余公积金</t>
  </si>
  <si>
    <t>可供投资者分配的利润（15-16）</t>
  </si>
  <si>
    <t>提取任意盈余公积金</t>
  </si>
  <si>
    <t>应付利润</t>
  </si>
  <si>
    <t>未分配利润（17-18-19）</t>
  </si>
  <si>
    <t>息税前利润</t>
  </si>
  <si>
    <t>息税折旧摊销前利润</t>
  </si>
  <si>
    <t>累计盈余公积</t>
  </si>
  <si>
    <t>建设期可抵扣增值税</t>
  </si>
  <si>
    <t>增值税销项税额</t>
  </si>
  <si>
    <t xml:space="preserve"> 增值税销项税额累计</t>
  </si>
  <si>
    <t>增值税进项税额</t>
  </si>
  <si>
    <t xml:space="preserve"> 增值税进项税额累计</t>
  </si>
  <si>
    <t>应纳增值税额</t>
  </si>
  <si>
    <t>前5年亏损</t>
  </si>
  <si>
    <t>前4年亏损</t>
  </si>
  <si>
    <t>前3年亏损</t>
  </si>
  <si>
    <t>前2年亏损</t>
  </si>
  <si>
    <t>前1年亏损</t>
  </si>
  <si>
    <t>弥补前5年</t>
  </si>
  <si>
    <t>弥补前4年</t>
  </si>
  <si>
    <t>弥补前3年</t>
  </si>
  <si>
    <t>弥补前2年</t>
  </si>
  <si>
    <t>弥补前1年</t>
  </si>
  <si>
    <t>财务计划现金流量表</t>
  </si>
  <si>
    <t>经营活动净现金流量</t>
  </si>
  <si>
    <t>现金流入</t>
  </si>
  <si>
    <t>1.1.1</t>
  </si>
  <si>
    <t>1.1.3</t>
  </si>
  <si>
    <t>其他收入（应税)</t>
  </si>
  <si>
    <t>1.1.4</t>
  </si>
  <si>
    <t>其他收入(免税)</t>
  </si>
  <si>
    <t>现金流出</t>
  </si>
  <si>
    <t>1.2.3</t>
  </si>
  <si>
    <t>1.2.4</t>
  </si>
  <si>
    <t>实缴增值税</t>
  </si>
  <si>
    <t>1.2.5</t>
  </si>
  <si>
    <t>1.2.6</t>
  </si>
  <si>
    <t>投资活动净现金流量</t>
  </si>
  <si>
    <t>回收固定资产余值</t>
  </si>
  <si>
    <t>回收流动资金</t>
  </si>
  <si>
    <t>筹资活动净现金流量</t>
  </si>
  <si>
    <t>3.1.1</t>
  </si>
  <si>
    <t>项目资本金投入</t>
  </si>
  <si>
    <t>3.1.2</t>
  </si>
  <si>
    <t>建设投资借款</t>
  </si>
  <si>
    <t>3.1.3</t>
  </si>
  <si>
    <t>3.1.4</t>
  </si>
  <si>
    <t>债券</t>
  </si>
  <si>
    <t>3.1.5</t>
  </si>
  <si>
    <t>短期借款</t>
  </si>
  <si>
    <t>3.1.6</t>
  </si>
  <si>
    <t>其他流入</t>
  </si>
  <si>
    <t>3.2.1</t>
  </si>
  <si>
    <t>各种利息支出</t>
  </si>
  <si>
    <t>3.2.2</t>
  </si>
  <si>
    <t>偿还债务本金</t>
  </si>
  <si>
    <t>3.2.3</t>
  </si>
  <si>
    <t>3.2.4</t>
  </si>
  <si>
    <t>其他流出</t>
  </si>
  <si>
    <t>净现金流量</t>
  </si>
  <si>
    <t>应还本息合计</t>
  </si>
  <si>
    <t>可供偿债现金</t>
  </si>
  <si>
    <t>偿债后余额</t>
  </si>
  <si>
    <t>项目投资现金流量表</t>
  </si>
  <si>
    <t>其他收入(应税)</t>
  </si>
  <si>
    <t>所得税前净现金流量(1-2)</t>
  </si>
  <si>
    <t>累计所得税前净现金流量</t>
  </si>
  <si>
    <t>调整所得税</t>
  </si>
  <si>
    <t>所得税后净现金流量（3-5）</t>
  </si>
  <si>
    <t>累计所得税后净现金流量</t>
  </si>
  <si>
    <t>计算指标：</t>
  </si>
  <si>
    <t>全投资内部收益率（税前）（%）</t>
  </si>
  <si>
    <t>全投资内部收益率（税后）（%）</t>
  </si>
  <si>
    <t>全投资净现值（税前）（万元）</t>
  </si>
  <si>
    <t>全投资净现值（税后）（万元）</t>
  </si>
  <si>
    <t>投资回收期（税前）（年）</t>
  </si>
  <si>
    <t>投资回收期（税后）（年）</t>
  </si>
  <si>
    <t>动态投资回收期（税前）（年）</t>
  </si>
  <si>
    <t>动态投资回收期（税后）（年）</t>
  </si>
  <si>
    <r>
      <rPr>
        <sz val="10"/>
        <color rgb="FF000000"/>
        <rFont val="宋体"/>
        <charset val="134"/>
      </rPr>
      <t>所得税</t>
    </r>
    <r>
      <rPr>
        <b/>
        <sz val="10"/>
        <color rgb="FF000000"/>
        <rFont val="宋体"/>
        <charset val="134"/>
      </rPr>
      <t>前</t>
    </r>
    <r>
      <rPr>
        <sz val="10"/>
        <color rgb="FF000000"/>
        <rFont val="宋体"/>
        <charset val="134"/>
      </rPr>
      <t>净现金流量现值</t>
    </r>
  </si>
  <si>
    <r>
      <rPr>
        <sz val="10"/>
        <color rgb="FF000000"/>
        <rFont val="宋体"/>
        <charset val="134"/>
      </rPr>
      <t>累计所得税</t>
    </r>
    <r>
      <rPr>
        <b/>
        <sz val="10"/>
        <color rgb="FF000000"/>
        <rFont val="宋体"/>
        <charset val="134"/>
      </rPr>
      <t>前</t>
    </r>
    <r>
      <rPr>
        <sz val="10"/>
        <color rgb="FF000000"/>
        <rFont val="宋体"/>
        <charset val="134"/>
      </rPr>
      <t>净现金流量现值</t>
    </r>
  </si>
  <si>
    <r>
      <rPr>
        <sz val="10"/>
        <color rgb="FF000000"/>
        <rFont val="宋体"/>
        <charset val="134"/>
      </rPr>
      <t>所得税</t>
    </r>
    <r>
      <rPr>
        <b/>
        <sz val="10"/>
        <color rgb="FF000000"/>
        <rFont val="宋体"/>
        <charset val="134"/>
      </rPr>
      <t>后</t>
    </r>
    <r>
      <rPr>
        <sz val="10"/>
        <color rgb="FF000000"/>
        <rFont val="宋体"/>
        <charset val="134"/>
      </rPr>
      <t>净现金流量现值</t>
    </r>
  </si>
  <si>
    <r>
      <rPr>
        <sz val="10"/>
        <color rgb="FF000000"/>
        <rFont val="宋体"/>
        <charset val="134"/>
      </rPr>
      <t>累计所得税</t>
    </r>
    <r>
      <rPr>
        <b/>
        <sz val="10"/>
        <color rgb="FF000000"/>
        <rFont val="宋体"/>
        <charset val="134"/>
      </rPr>
      <t>后</t>
    </r>
    <r>
      <rPr>
        <sz val="10"/>
        <color rgb="FF000000"/>
        <rFont val="宋体"/>
        <charset val="134"/>
      </rPr>
      <t>净现金流量现值</t>
    </r>
  </si>
  <si>
    <t>项目资本金现金流量表</t>
  </si>
  <si>
    <t>新增短期贷款</t>
  </si>
  <si>
    <t>项目资本金</t>
  </si>
  <si>
    <t>借款本金偿还</t>
  </si>
  <si>
    <t>借款利息支付</t>
  </si>
  <si>
    <t>净现金流量（1-2）</t>
  </si>
  <si>
    <t>资本金内部收益率（%）</t>
  </si>
  <si>
    <t>资本金财务净现值(万元)</t>
  </si>
  <si>
    <t>资产负债表</t>
  </si>
  <si>
    <t>资产</t>
  </si>
  <si>
    <t>流动资产总额</t>
  </si>
  <si>
    <t>1.1.2</t>
  </si>
  <si>
    <t>流动资产</t>
  </si>
  <si>
    <t>净值</t>
  </si>
  <si>
    <t>无形及其他资产净值</t>
  </si>
  <si>
    <t>可抵扣增值税形成资产</t>
  </si>
  <si>
    <t>负债及所有者权益（2.4+2.5）</t>
  </si>
  <si>
    <t>流动负债总额</t>
  </si>
  <si>
    <t>其他</t>
  </si>
  <si>
    <t>负债小计（2.1+2.2+2.3）</t>
  </si>
  <si>
    <t>所有者权益</t>
  </si>
  <si>
    <t>2.5.1</t>
  </si>
  <si>
    <t>资本金</t>
  </si>
  <si>
    <t>2.5.2</t>
  </si>
  <si>
    <t>资本公积</t>
  </si>
  <si>
    <t>2.5.3</t>
  </si>
  <si>
    <t>累计盈余公积金</t>
  </si>
  <si>
    <t>2.5.4</t>
  </si>
  <si>
    <t>累计未分配利润</t>
  </si>
  <si>
    <t>资产负债平衡</t>
  </si>
  <si>
    <t>计算指标：资产负债率（%）</t>
  </si>
  <si>
    <t>辅助</t>
  </si>
  <si>
    <t>销项-进项</t>
  </si>
  <si>
    <t>可抵扣进项税形成资产</t>
  </si>
  <si>
    <t>ROE</t>
  </si>
  <si>
    <t>EVA测算表</t>
  </si>
  <si>
    <t>税后净营业利润</t>
  </si>
  <si>
    <t>净利润</t>
  </si>
  <si>
    <t>资本成本</t>
  </si>
  <si>
    <t>负债小计</t>
  </si>
  <si>
    <t>EVA</t>
  </si>
  <si>
    <t>△EVA</t>
  </si>
  <si>
    <t>投资回收期（税前）</t>
  </si>
  <si>
    <t>投资回收期（税后）</t>
  </si>
  <si>
    <t>全投资内部收益率（税前）</t>
  </si>
  <si>
    <t>全投资内部收益率（税后）</t>
  </si>
  <si>
    <t>全投资净现值（税前）</t>
  </si>
  <si>
    <t>全投资净现值（税后）</t>
  </si>
  <si>
    <t>资本金内部收益率</t>
  </si>
  <si>
    <t>资本金财务净现值</t>
  </si>
  <si>
    <t>总投资收益率（ROI）</t>
  </si>
  <si>
    <t>投资利税率</t>
  </si>
  <si>
    <t>资本金净利润率（ROE）</t>
  </si>
  <si>
    <t>资产负债率（最大值）</t>
  </si>
  <si>
    <t>盈亏平衡点（生产能力利用率）</t>
  </si>
  <si>
    <t>盈亏平衡点（年产量）</t>
  </si>
  <si>
    <t>度电投资</t>
  </si>
  <si>
    <t>度电利润</t>
  </si>
  <si>
    <t>平准化度电成本（LCOE）</t>
  </si>
  <si>
    <t>指标</t>
  </si>
  <si>
    <t>度电成本（元/kWh)</t>
  </si>
  <si>
    <t>度电利润（元/kWh)</t>
  </si>
  <si>
    <t>综合电价（税前）（元/kWh)</t>
  </si>
  <si>
    <t>财务费用（万元）</t>
  </si>
  <si>
    <t>资本金净现金流（万元）</t>
  </si>
  <si>
    <t>EVA（万元）</t>
  </si>
  <si>
    <t>ROE（%）</t>
  </si>
  <si>
    <t>图像：</t>
  </si>
  <si>
    <t>1.做整个运营期的折线图，运营期有几年就显示几年；需要注意的是财务费用的年度和运营期不一致</t>
  </si>
  <si>
    <t>2.度电成本、度电利润、综合电价显示在左侧坐标轴，剩余三个指标显示在右侧坐标轴，六个曲线做在同一张折线图上</t>
  </si>
  <si>
    <t>3.在图的旁边做这几项指标的勾选，使用户可以勾选折线图显示哪几个指标</t>
  </si>
  <si>
    <t>4.上表仅供作图使用，不显示在界面中</t>
  </si>
  <si>
    <t>折现因子</t>
  </si>
  <si>
    <t>WACC</t>
  </si>
  <si>
    <t>运维成本</t>
  </si>
  <si>
    <t>进项税抵扣</t>
  </si>
  <si>
    <t>残值</t>
  </si>
  <si>
    <t>静态初始投资</t>
  </si>
  <si>
    <t>成本折现</t>
  </si>
  <si>
    <t>发电量折现</t>
  </si>
  <si>
    <t>LCOE(元/kWh)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</si>
</sst>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%"/>
    <numFmt numFmtId="177" formatCode="#,##0.00000000000000"/>
    <numFmt numFmtId="178" formatCode="#,##0.0"/>
    <numFmt numFmtId="179" formatCode="#,##0.0000"/>
    <numFmt numFmtId="180" formatCode="#,##0.000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Calibri"/>
      <charset val="134"/>
    </font>
    <font>
      <b/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FFFFFF"/>
      <name val="宋体"/>
      <charset val="134"/>
    </font>
    <font>
      <sz val="10"/>
      <color theme="1"/>
      <name val="SimSun"/>
      <charset val="134"/>
    </font>
    <font>
      <sz val="10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SimSun"/>
      <charset val="134"/>
    </font>
    <font>
      <sz val="12"/>
      <color theme="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NewRomanPSMT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40" applyNumberFormat="0" applyAlignment="0" applyProtection="0">
      <alignment vertical="center"/>
    </xf>
    <xf numFmtId="0" fontId="25" fillId="12" borderId="41" applyNumberFormat="0" applyAlignment="0" applyProtection="0">
      <alignment vertical="center"/>
    </xf>
    <xf numFmtId="0" fontId="26" fillId="12" borderId="40" applyNumberFormat="0" applyAlignment="0" applyProtection="0">
      <alignment vertical="center"/>
    </xf>
    <xf numFmtId="0" fontId="27" fillId="13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316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0" fontId="1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5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5" fillId="2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" fontId="4" fillId="2" borderId="1" xfId="0" applyNumberFormat="1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4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" fontId="3" fillId="0" borderId="1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4" fontId="4" fillId="0" borderId="1" xfId="0" applyNumberFormat="1" applyFont="1" applyBorder="1" applyAlignment="1">
      <alignment horizontal="right"/>
    </xf>
    <xf numFmtId="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4" fontId="4" fillId="3" borderId="1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76" fontId="0" fillId="0" borderId="0" xfId="0" applyNumberFormat="1" applyAlignment="1">
      <alignment horizontal="right"/>
    </xf>
    <xf numFmtId="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76" fontId="6" fillId="2" borderId="1" xfId="0" applyNumberFormat="1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center" vertical="top"/>
    </xf>
    <xf numFmtId="3" fontId="4" fillId="0" borderId="1" xfId="0" applyNumberFormat="1" applyFont="1" applyBorder="1" applyAlignment="1">
      <alignment horizontal="right"/>
    </xf>
    <xf numFmtId="3" fontId="0" fillId="0" borderId="0" xfId="0" applyNumberFormat="1"/>
    <xf numFmtId="4" fontId="6" fillId="2" borderId="1" xfId="0" applyNumberFormat="1" applyFont="1" applyFill="1" applyBorder="1" applyAlignment="1">
      <alignment horizontal="center" vertical="top"/>
    </xf>
    <xf numFmtId="3" fontId="6" fillId="2" borderId="1" xfId="0" applyNumberFormat="1" applyFont="1" applyFill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" fontId="4" fillId="0" borderId="0" xfId="0" applyNumberFormat="1" applyFont="1" applyBorder="1" applyAlignment="1">
      <alignment horizontal="right"/>
    </xf>
    <xf numFmtId="3" fontId="4" fillId="2" borderId="4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4" fontId="4" fillId="0" borderId="0" xfId="0" applyNumberFormat="1" applyFont="1" applyBorder="1" applyAlignment="1">
      <alignment horizontal="left"/>
    </xf>
    <xf numFmtId="176" fontId="6" fillId="0" borderId="0" xfId="0" applyNumberFormat="1" applyFont="1" applyBorder="1" applyAlignment="1">
      <alignment horizontal="right"/>
    </xf>
    <xf numFmtId="177" fontId="4" fillId="0" borderId="0" xfId="0" applyNumberFormat="1" applyFont="1" applyBorder="1" applyAlignment="1">
      <alignment horizontal="right"/>
    </xf>
    <xf numFmtId="176" fontId="4" fillId="0" borderId="0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3" fontId="4" fillId="0" borderId="5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" fontId="3" fillId="0" borderId="1" xfId="0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3" fontId="2" fillId="0" borderId="3" xfId="0" applyNumberFormat="1" applyFont="1" applyBorder="1" applyAlignment="1">
      <alignment horizontal="center" vertical="top"/>
    </xf>
    <xf numFmtId="3" fontId="2" fillId="0" borderId="5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top"/>
    </xf>
    <xf numFmtId="4" fontId="3" fillId="2" borderId="6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4" fontId="2" fillId="0" borderId="1" xfId="0" applyNumberFormat="1" applyFont="1" applyBorder="1" applyAlignment="1">
      <alignment horizontal="right"/>
    </xf>
    <xf numFmtId="4" fontId="3" fillId="2" borderId="1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wrapText="1"/>
    </xf>
    <xf numFmtId="4" fontId="2" fillId="0" borderId="1" xfId="0" applyNumberFormat="1" applyFont="1" applyBorder="1" applyAlignment="1">
      <alignment horizontal="left" wrapText="1"/>
    </xf>
    <xf numFmtId="4" fontId="6" fillId="2" borderId="6" xfId="0" applyNumberFormat="1" applyFont="1" applyFill="1" applyBorder="1" applyAlignment="1">
      <alignment horizontal="center"/>
    </xf>
    <xf numFmtId="178" fontId="4" fillId="2" borderId="1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6" fillId="4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 vertical="top"/>
    </xf>
    <xf numFmtId="3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4" fontId="4" fillId="3" borderId="8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3" fontId="4" fillId="4" borderId="6" xfId="0" applyNumberFormat="1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left" vertical="top"/>
    </xf>
    <xf numFmtId="179" fontId="4" fillId="5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3" fontId="4" fillId="5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 vertical="top"/>
    </xf>
    <xf numFmtId="4" fontId="6" fillId="3" borderId="1" xfId="0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right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4" fontId="4" fillId="3" borderId="1" xfId="0" applyNumberFormat="1" applyFont="1" applyFill="1" applyBorder="1" applyAlignment="1">
      <alignment horizontal="right"/>
    </xf>
    <xf numFmtId="3" fontId="4" fillId="3" borderId="11" xfId="0" applyNumberFormat="1" applyFont="1" applyFill="1" applyBorder="1" applyAlignment="1">
      <alignment horizontal="right"/>
    </xf>
    <xf numFmtId="4" fontId="4" fillId="3" borderId="11" xfId="0" applyNumberFormat="1" applyFont="1" applyFill="1" applyBorder="1" applyAlignment="1">
      <alignment horizontal="right"/>
    </xf>
    <xf numFmtId="1" fontId="4" fillId="5" borderId="1" xfId="0" applyNumberFormat="1" applyFont="1" applyFill="1" applyBorder="1" applyAlignment="1">
      <alignment horizontal="center"/>
    </xf>
    <xf numFmtId="3" fontId="4" fillId="0" borderId="3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center"/>
    </xf>
    <xf numFmtId="3" fontId="4" fillId="5" borderId="11" xfId="0" applyNumberFormat="1" applyFont="1" applyFill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4" fontId="6" fillId="4" borderId="1" xfId="0" applyNumberFormat="1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 vertical="top"/>
    </xf>
    <xf numFmtId="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3" fontId="4" fillId="6" borderId="1" xfId="0" applyNumberFormat="1" applyFont="1" applyFill="1" applyBorder="1" applyAlignment="1">
      <alignment horizontal="right"/>
    </xf>
    <xf numFmtId="4" fontId="4" fillId="6" borderId="1" xfId="0" applyNumberFormat="1" applyFont="1" applyFill="1" applyBorder="1" applyAlignment="1">
      <alignment horizontal="right"/>
    </xf>
    <xf numFmtId="4" fontId="4" fillId="5" borderId="1" xfId="0" applyNumberFormat="1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left"/>
    </xf>
    <xf numFmtId="0" fontId="6" fillId="4" borderId="7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4" fontId="6" fillId="4" borderId="8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4" fontId="4" fillId="5" borderId="11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 wrapText="1"/>
    </xf>
    <xf numFmtId="4" fontId="6" fillId="4" borderId="1" xfId="0" applyNumberFormat="1" applyFont="1" applyFill="1" applyBorder="1" applyAlignment="1">
      <alignment horizontal="center" wrapText="1"/>
    </xf>
    <xf numFmtId="4" fontId="6" fillId="0" borderId="0" xfId="0" applyNumberFormat="1" applyFont="1" applyBorder="1" applyAlignment="1">
      <alignment horizontal="center"/>
    </xf>
    <xf numFmtId="4" fontId="4" fillId="4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4" fontId="4" fillId="0" borderId="0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left" wrapText="1"/>
    </xf>
    <xf numFmtId="179" fontId="4" fillId="0" borderId="0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" fontId="0" fillId="0" borderId="0" xfId="0" applyNumberFormat="1" applyAlignment="1">
      <alignment horizontal="center" wrapText="1"/>
    </xf>
    <xf numFmtId="176" fontId="0" fillId="0" borderId="0" xfId="0" applyNumberFormat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" fontId="5" fillId="2" borderId="1" xfId="0" applyNumberFormat="1" applyFont="1" applyFill="1" applyBorder="1" applyAlignment="1">
      <alignment horizontal="center" wrapText="1"/>
    </xf>
    <xf numFmtId="176" fontId="5" fillId="2" borderId="1" xfId="0" applyNumberFormat="1" applyFont="1" applyFill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4" fontId="4" fillId="0" borderId="1" xfId="0" applyNumberFormat="1" applyFont="1" applyBorder="1" applyAlignment="1">
      <alignment horizontal="center" wrapText="1"/>
    </xf>
    <xf numFmtId="176" fontId="4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4" fontId="8" fillId="0" borderId="1" xfId="0" applyNumberFormat="1" applyFont="1" applyBorder="1" applyAlignment="1">
      <alignment horizontal="center" wrapText="1"/>
    </xf>
    <xf numFmtId="176" fontId="8" fillId="0" borderId="1" xfId="0" applyNumberFormat="1" applyFont="1" applyBorder="1" applyAlignment="1">
      <alignment horizontal="center" wrapText="1"/>
    </xf>
    <xf numFmtId="4" fontId="6" fillId="0" borderId="1" xfId="0" applyNumberFormat="1" applyFont="1" applyBorder="1" applyAlignment="1">
      <alignment horizontal="center" vertical="top" wrapText="1"/>
    </xf>
    <xf numFmtId="3" fontId="6" fillId="7" borderId="1" xfId="0" applyNumberFormat="1" applyFont="1" applyFill="1" applyBorder="1" applyAlignment="1">
      <alignment horizontal="center" vertical="top" wrapText="1"/>
    </xf>
    <xf numFmtId="3" fontId="6" fillId="0" borderId="1" xfId="0" applyNumberFormat="1" applyFont="1" applyBorder="1" applyAlignment="1">
      <alignment horizontal="center" wrapText="1"/>
    </xf>
    <xf numFmtId="4" fontId="6" fillId="0" borderId="1" xfId="0" applyNumberFormat="1" applyFont="1" applyBorder="1" applyAlignment="1">
      <alignment horizontal="center" wrapText="1"/>
    </xf>
    <xf numFmtId="3" fontId="6" fillId="7" borderId="1" xfId="0" applyNumberFormat="1" applyFont="1" applyFill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4" fontId="4" fillId="7" borderId="1" xfId="0" applyNumberFormat="1" applyFont="1" applyFill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justify"/>
    </xf>
    <xf numFmtId="4" fontId="4" fillId="0" borderId="3" xfId="0" applyNumberFormat="1" applyFont="1" applyBorder="1" applyAlignment="1">
      <alignment horizontal="center" wrapText="1"/>
    </xf>
    <xf numFmtId="3" fontId="4" fillId="7" borderId="11" xfId="0" applyNumberFormat="1" applyFont="1" applyFill="1" applyBorder="1" applyAlignment="1">
      <alignment horizontal="center" wrapText="1"/>
    </xf>
    <xf numFmtId="3" fontId="4" fillId="0" borderId="3" xfId="0" applyNumberFormat="1" applyFont="1" applyBorder="1" applyAlignment="1">
      <alignment horizontal="center" wrapText="1"/>
    </xf>
    <xf numFmtId="4" fontId="4" fillId="7" borderId="15" xfId="0" applyNumberFormat="1" applyFont="1" applyFill="1" applyBorder="1" applyAlignment="1">
      <alignment horizontal="center"/>
    </xf>
    <xf numFmtId="3" fontId="4" fillId="7" borderId="16" xfId="0" applyNumberFormat="1" applyFont="1" applyFill="1" applyBorder="1" applyAlignment="1">
      <alignment horizontal="center"/>
    </xf>
    <xf numFmtId="3" fontId="4" fillId="7" borderId="15" xfId="0" applyNumberFormat="1" applyFont="1" applyFill="1" applyBorder="1" applyAlignment="1">
      <alignment horizontal="center"/>
    </xf>
    <xf numFmtId="3" fontId="4" fillId="7" borderId="17" xfId="0" applyNumberFormat="1" applyFont="1" applyFill="1" applyBorder="1" applyAlignment="1">
      <alignment horizontal="center"/>
    </xf>
    <xf numFmtId="4" fontId="4" fillId="7" borderId="17" xfId="0" applyNumberFormat="1" applyFont="1" applyFill="1" applyBorder="1" applyAlignment="1">
      <alignment horizontal="center"/>
    </xf>
    <xf numFmtId="4" fontId="4" fillId="7" borderId="16" xfId="0" applyNumberFormat="1" applyFont="1" applyFill="1" applyBorder="1" applyAlignment="1">
      <alignment horizontal="center"/>
    </xf>
    <xf numFmtId="3" fontId="0" fillId="0" borderId="0" xfId="0" applyNumberFormat="1" applyAlignment="1">
      <alignment wrapText="1"/>
    </xf>
    <xf numFmtId="4" fontId="6" fillId="0" borderId="18" xfId="0" applyNumberFormat="1" applyFont="1" applyBorder="1" applyAlignment="1">
      <alignment horizontal="center" wrapText="1"/>
    </xf>
    <xf numFmtId="3" fontId="6" fillId="0" borderId="19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6" fillId="0" borderId="0" xfId="0" applyNumberFormat="1" applyFont="1" applyBorder="1" applyAlignment="1">
      <alignment horizontal="left" wrapText="1"/>
    </xf>
    <xf numFmtId="4" fontId="0" fillId="0" borderId="0" xfId="0" applyNumberFormat="1" applyAlignment="1">
      <alignment wrapText="1"/>
    </xf>
    <xf numFmtId="4" fontId="3" fillId="0" borderId="1" xfId="0" applyNumberFormat="1" applyFont="1" applyBorder="1" applyAlignment="1">
      <alignment horizontal="center" wrapText="1"/>
    </xf>
    <xf numFmtId="3" fontId="3" fillId="0" borderId="0" xfId="0" applyNumberFormat="1" applyFont="1" applyBorder="1" applyAlignment="1">
      <alignment horizontal="center" wrapText="1"/>
    </xf>
    <xf numFmtId="180" fontId="4" fillId="0" borderId="1" xfId="0" applyNumberFormat="1" applyFont="1" applyBorder="1" applyAlignment="1">
      <alignment horizontal="center"/>
    </xf>
    <xf numFmtId="180" fontId="4" fillId="0" borderId="0" xfId="0" applyNumberFormat="1" applyFont="1" applyBorder="1" applyAlignment="1">
      <alignment horizontal="center"/>
    </xf>
    <xf numFmtId="179" fontId="4" fillId="8" borderId="1" xfId="0" applyNumberFormat="1" applyFont="1" applyFill="1" applyBorder="1" applyAlignment="1">
      <alignment horizontal="center"/>
    </xf>
    <xf numFmtId="3" fontId="4" fillId="8" borderId="1" xfId="0" applyNumberFormat="1" applyFont="1" applyFill="1" applyBorder="1" applyAlignment="1">
      <alignment horizontal="center"/>
    </xf>
    <xf numFmtId="179" fontId="4" fillId="0" borderId="0" xfId="0" applyNumberFormat="1" applyFont="1" applyBorder="1" applyAlignment="1">
      <alignment horizontal="center"/>
    </xf>
    <xf numFmtId="3" fontId="6" fillId="0" borderId="20" xfId="0" applyNumberFormat="1" applyFont="1" applyBorder="1" applyAlignment="1">
      <alignment horizontal="center" vertical="top" wrapText="1"/>
    </xf>
    <xf numFmtId="4" fontId="6" fillId="7" borderId="20" xfId="0" applyNumberFormat="1" applyFont="1" applyFill="1" applyBorder="1" applyAlignment="1">
      <alignment horizontal="center" vertical="top" wrapText="1"/>
    </xf>
    <xf numFmtId="3" fontId="6" fillId="0" borderId="20" xfId="0" applyNumberFormat="1" applyFont="1" applyBorder="1" applyAlignment="1">
      <alignment horizontal="center" wrapText="1"/>
    </xf>
    <xf numFmtId="3" fontId="6" fillId="0" borderId="21" xfId="0" applyNumberFormat="1" applyFont="1" applyBorder="1" applyAlignment="1">
      <alignment horizontal="center" wrapText="1"/>
    </xf>
    <xf numFmtId="3" fontId="6" fillId="0" borderId="22" xfId="0" applyNumberFormat="1" applyFont="1" applyBorder="1" applyAlignment="1">
      <alignment horizontal="center" wrapText="1"/>
    </xf>
    <xf numFmtId="4" fontId="6" fillId="0" borderId="20" xfId="0" applyNumberFormat="1" applyFont="1" applyBorder="1" applyAlignment="1">
      <alignment horizontal="center" wrapText="1"/>
    </xf>
    <xf numFmtId="4" fontId="6" fillId="7" borderId="20" xfId="0" applyNumberFormat="1" applyFont="1" applyFill="1" applyBorder="1" applyAlignment="1">
      <alignment horizontal="center" wrapText="1"/>
    </xf>
    <xf numFmtId="3" fontId="6" fillId="0" borderId="23" xfId="0" applyNumberFormat="1" applyFont="1" applyBorder="1" applyAlignment="1">
      <alignment horizontal="center" wrapText="1"/>
    </xf>
    <xf numFmtId="4" fontId="6" fillId="0" borderId="23" xfId="0" applyNumberFormat="1" applyFont="1" applyBorder="1" applyAlignment="1">
      <alignment horizontal="center" wrapText="1"/>
    </xf>
    <xf numFmtId="3" fontId="4" fillId="0" borderId="20" xfId="0" applyNumberFormat="1" applyFont="1" applyBorder="1" applyAlignment="1">
      <alignment horizontal="center"/>
    </xf>
    <xf numFmtId="3" fontId="4" fillId="7" borderId="20" xfId="0" applyNumberFormat="1" applyFont="1" applyFill="1" applyBorder="1" applyAlignment="1">
      <alignment horizontal="center"/>
    </xf>
    <xf numFmtId="4" fontId="4" fillId="0" borderId="20" xfId="0" applyNumberFormat="1" applyFont="1" applyBorder="1" applyAlignment="1">
      <alignment horizontal="center"/>
    </xf>
    <xf numFmtId="4" fontId="4" fillId="0" borderId="20" xfId="0" applyNumberFormat="1" applyFont="1" applyBorder="1" applyAlignment="1">
      <alignment horizontal="center" wrapText="1"/>
    </xf>
    <xf numFmtId="3" fontId="4" fillId="0" borderId="20" xfId="0" applyNumberFormat="1" applyFont="1" applyBorder="1" applyAlignment="1">
      <alignment horizontal="center" wrapText="1"/>
    </xf>
    <xf numFmtId="3" fontId="9" fillId="0" borderId="0" xfId="0" applyNumberFormat="1" applyFont="1" applyBorder="1" applyAlignment="1">
      <alignment horizontal="center"/>
    </xf>
    <xf numFmtId="4" fontId="9" fillId="0" borderId="0" xfId="0" applyNumberFormat="1" applyFont="1" applyBorder="1" applyAlignment="1">
      <alignment horizontal="center"/>
    </xf>
    <xf numFmtId="3" fontId="6" fillId="0" borderId="24" xfId="0" applyNumberFormat="1" applyFont="1" applyBorder="1" applyAlignment="1">
      <alignment horizontal="center" vertical="top" wrapText="1"/>
    </xf>
    <xf numFmtId="4" fontId="6" fillId="7" borderId="25" xfId="0" applyNumberFormat="1" applyFont="1" applyFill="1" applyBorder="1" applyAlignment="1">
      <alignment horizontal="center" vertical="top" wrapText="1"/>
    </xf>
    <xf numFmtId="3" fontId="6" fillId="0" borderId="26" xfId="0" applyNumberFormat="1" applyFont="1" applyBorder="1" applyAlignment="1">
      <alignment horizontal="center" wrapText="1"/>
    </xf>
    <xf numFmtId="4" fontId="6" fillId="7" borderId="27" xfId="0" applyNumberFormat="1" applyFont="1" applyFill="1" applyBorder="1" applyAlignment="1">
      <alignment horizontal="center" wrapText="1"/>
    </xf>
    <xf numFmtId="3" fontId="6" fillId="0" borderId="26" xfId="0" applyNumberFormat="1" applyFont="1" applyBorder="1" applyAlignment="1">
      <alignment horizontal="center"/>
    </xf>
    <xf numFmtId="3" fontId="4" fillId="7" borderId="28" xfId="0" applyNumberFormat="1" applyFont="1" applyFill="1" applyBorder="1" applyAlignment="1">
      <alignment horizontal="center"/>
    </xf>
    <xf numFmtId="4" fontId="4" fillId="0" borderId="23" xfId="0" applyNumberFormat="1" applyFont="1" applyBorder="1" applyAlignment="1">
      <alignment horizontal="center"/>
    </xf>
    <xf numFmtId="3" fontId="4" fillId="0" borderId="23" xfId="0" applyNumberFormat="1" applyFont="1" applyBorder="1" applyAlignment="1">
      <alignment horizontal="center"/>
    </xf>
    <xf numFmtId="4" fontId="4" fillId="0" borderId="23" xfId="0" applyNumberFormat="1" applyFont="1" applyBorder="1" applyAlignment="1">
      <alignment horizontal="center" wrapText="1"/>
    </xf>
    <xf numFmtId="3" fontId="4" fillId="0" borderId="23" xfId="0" applyNumberFormat="1" applyFont="1" applyBorder="1" applyAlignment="1">
      <alignment horizontal="center" wrapText="1"/>
    </xf>
    <xf numFmtId="3" fontId="9" fillId="0" borderId="0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left" wrapText="1"/>
    </xf>
    <xf numFmtId="3" fontId="4" fillId="0" borderId="24" xfId="0" applyNumberFormat="1" applyFont="1" applyBorder="1" applyAlignment="1">
      <alignment horizontal="center" vertical="top" wrapText="1"/>
    </xf>
    <xf numFmtId="4" fontId="4" fillId="0" borderId="24" xfId="0" applyNumberFormat="1" applyFont="1" applyBorder="1" applyAlignment="1">
      <alignment horizontal="center" vertical="top" wrapText="1"/>
    </xf>
    <xf numFmtId="3" fontId="4" fillId="0" borderId="21" xfId="0" applyNumberFormat="1" applyFont="1" applyBorder="1" applyAlignment="1">
      <alignment horizontal="center" wrapText="1"/>
    </xf>
    <xf numFmtId="3" fontId="4" fillId="0" borderId="29" xfId="0" applyNumberFormat="1" applyFont="1" applyBorder="1" applyAlignment="1">
      <alignment horizontal="center" wrapText="1"/>
    </xf>
    <xf numFmtId="3" fontId="4" fillId="0" borderId="21" xfId="0" applyNumberFormat="1" applyFont="1" applyBorder="1" applyAlignment="1">
      <alignment horizontal="center"/>
    </xf>
    <xf numFmtId="3" fontId="4" fillId="0" borderId="29" xfId="0" applyNumberFormat="1" applyFont="1" applyBorder="1" applyAlignment="1">
      <alignment horizontal="center"/>
    </xf>
    <xf numFmtId="3" fontId="4" fillId="0" borderId="22" xfId="0" applyNumberFormat="1" applyFont="1" applyBorder="1" applyAlignment="1">
      <alignment horizontal="center"/>
    </xf>
    <xf numFmtId="4" fontId="4" fillId="0" borderId="29" xfId="0" applyNumberFormat="1" applyFont="1" applyBorder="1" applyAlignment="1">
      <alignment horizontal="center" wrapText="1"/>
    </xf>
    <xf numFmtId="4" fontId="4" fillId="0" borderId="22" xfId="0" applyNumberFormat="1" applyFont="1" applyBorder="1" applyAlignment="1">
      <alignment horizontal="center" wrapText="1"/>
    </xf>
    <xf numFmtId="3" fontId="4" fillId="0" borderId="30" xfId="0" applyNumberFormat="1" applyFont="1" applyBorder="1" applyAlignment="1">
      <alignment horizontal="center"/>
    </xf>
    <xf numFmtId="3" fontId="4" fillId="0" borderId="31" xfId="0" applyNumberFormat="1" applyFont="1" applyBorder="1" applyAlignment="1">
      <alignment horizontal="center"/>
    </xf>
    <xf numFmtId="3" fontId="4" fillId="0" borderId="22" xfId="0" applyNumberFormat="1" applyFont="1" applyBorder="1" applyAlignment="1">
      <alignment horizontal="center" wrapText="1"/>
    </xf>
    <xf numFmtId="4" fontId="4" fillId="0" borderId="29" xfId="0" applyNumberFormat="1" applyFont="1" applyBorder="1" applyAlignment="1">
      <alignment horizontal="center"/>
    </xf>
    <xf numFmtId="4" fontId="4" fillId="0" borderId="22" xfId="0" applyNumberFormat="1" applyFont="1" applyBorder="1" applyAlignment="1">
      <alignment horizontal="center"/>
    </xf>
    <xf numFmtId="3" fontId="4" fillId="0" borderId="26" xfId="0" applyNumberFormat="1" applyFont="1" applyBorder="1" applyAlignment="1">
      <alignment horizontal="center" wrapText="1"/>
    </xf>
    <xf numFmtId="4" fontId="4" fillId="0" borderId="26" xfId="0" applyNumberFormat="1" applyFont="1" applyBorder="1" applyAlignment="1">
      <alignment horizontal="center" wrapText="1"/>
    </xf>
    <xf numFmtId="4" fontId="4" fillId="0" borderId="32" xfId="0" applyNumberFormat="1" applyFont="1" applyBorder="1" applyAlignment="1">
      <alignment horizontal="center" wrapText="1"/>
    </xf>
    <xf numFmtId="3" fontId="4" fillId="0" borderId="26" xfId="0" applyNumberFormat="1" applyFont="1" applyBorder="1" applyAlignment="1">
      <alignment horizontal="center"/>
    </xf>
    <xf numFmtId="3" fontId="4" fillId="7" borderId="28" xfId="0" applyNumberFormat="1" applyFont="1" applyFill="1" applyBorder="1" applyAlignment="1">
      <alignment horizontal="center" wrapText="1"/>
    </xf>
    <xf numFmtId="3" fontId="4" fillId="0" borderId="33" xfId="0" applyNumberFormat="1" applyFont="1" applyBorder="1" applyAlignment="1">
      <alignment horizontal="center" wrapText="1"/>
    </xf>
    <xf numFmtId="4" fontId="4" fillId="0" borderId="33" xfId="0" applyNumberFormat="1" applyFont="1" applyBorder="1" applyAlignment="1">
      <alignment horizontal="center" wrapText="1"/>
    </xf>
    <xf numFmtId="4" fontId="4" fillId="0" borderId="24" xfId="0" applyNumberFormat="1" applyFont="1" applyBorder="1" applyAlignment="1">
      <alignment horizontal="center" wrapText="1"/>
    </xf>
    <xf numFmtId="4" fontId="4" fillId="0" borderId="24" xfId="0" applyNumberFormat="1" applyFont="1" applyBorder="1" applyAlignment="1">
      <alignment horizontal="center"/>
    </xf>
    <xf numFmtId="3" fontId="4" fillId="0" borderId="24" xfId="0" applyNumberFormat="1" applyFont="1" applyBorder="1" applyAlignment="1">
      <alignment horizontal="center" wrapText="1"/>
    </xf>
    <xf numFmtId="4" fontId="6" fillId="0" borderId="2" xfId="0" applyNumberFormat="1" applyFont="1" applyBorder="1" applyAlignment="1">
      <alignment horizontal="left" wrapText="1"/>
    </xf>
    <xf numFmtId="3" fontId="6" fillId="0" borderId="2" xfId="0" applyNumberFormat="1" applyFont="1" applyBorder="1" applyAlignment="1">
      <alignment horizontal="left" wrapText="1"/>
    </xf>
    <xf numFmtId="3" fontId="6" fillId="0" borderId="2" xfId="0" applyNumberFormat="1" applyFont="1" applyBorder="1" applyAlignment="1">
      <alignment horizontal="center" wrapText="1"/>
    </xf>
    <xf numFmtId="4" fontId="4" fillId="8" borderId="1" xfId="0" applyNumberFormat="1" applyFont="1" applyFill="1" applyBorder="1" applyAlignment="1">
      <alignment horizontal="center"/>
    </xf>
    <xf numFmtId="3" fontId="4" fillId="0" borderId="20" xfId="0" applyNumberFormat="1" applyFont="1" applyBorder="1" applyAlignment="1">
      <alignment horizontal="center" vertical="top" wrapText="1"/>
    </xf>
    <xf numFmtId="4" fontId="4" fillId="8" borderId="20" xfId="0" applyNumberFormat="1" applyFont="1" applyFill="1" applyBorder="1" applyAlignment="1">
      <alignment horizontal="center"/>
    </xf>
    <xf numFmtId="4" fontId="4" fillId="0" borderId="31" xfId="0" applyNumberFormat="1" applyFont="1" applyBorder="1" applyAlignment="1">
      <alignment horizontal="center" vertical="top"/>
    </xf>
    <xf numFmtId="3" fontId="4" fillId="0" borderId="34" xfId="0" applyNumberFormat="1" applyFont="1" applyBorder="1" applyAlignment="1">
      <alignment horizontal="center" wrapText="1"/>
    </xf>
    <xf numFmtId="3" fontId="2" fillId="0" borderId="20" xfId="0" applyNumberFormat="1" applyFont="1" applyBorder="1" applyAlignment="1">
      <alignment horizontal="center"/>
    </xf>
    <xf numFmtId="4" fontId="4" fillId="8" borderId="16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3" fontId="2" fillId="0" borderId="0" xfId="0" applyNumberFormat="1" applyFont="1" applyBorder="1" applyAlignment="1">
      <alignment horizontal="right"/>
    </xf>
    <xf numFmtId="0" fontId="2" fillId="9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0" fillId="7" borderId="0" xfId="0" applyFill="1"/>
    <xf numFmtId="0" fontId="0" fillId="0" borderId="0" xfId="0" applyAlignment="1">
      <alignment horizontal="left" wrapText="1"/>
    </xf>
    <xf numFmtId="3" fontId="7" fillId="2" borderId="35" xfId="0" applyNumberFormat="1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0" fillId="0" borderId="0" xfId="0" applyFont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179" fontId="2" fillId="0" borderId="1" xfId="0" applyNumberFormat="1" applyFont="1" applyBorder="1" applyAlignment="1">
      <alignment horizontal="left"/>
    </xf>
    <xf numFmtId="3" fontId="2" fillId="7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24"/>
  <sheetViews>
    <sheetView tabSelected="1" zoomScale="145" zoomScaleNormal="145" topLeftCell="A11" workbookViewId="0">
      <selection activeCell="A26" sqref="A26"/>
    </sheetView>
  </sheetViews>
  <sheetFormatPr defaultColWidth="8.83333333333333" defaultRowHeight="13.5"/>
  <cols>
    <col min="1" max="1" width="11.3333333333333" style="33" customWidth="1"/>
    <col min="2" max="3" width="22.8333333333333" style="14" customWidth="1"/>
    <col min="4" max="4" width="20.5" style="1" customWidth="1"/>
    <col min="5" max="5" width="12.8333333333333" style="14" customWidth="1"/>
    <col min="6" max="8" width="38.5" style="293" customWidth="1"/>
    <col min="9" max="9" width="23.5" style="180" customWidth="1"/>
    <col min="10" max="15" width="9.5" customWidth="1"/>
  </cols>
  <sheetData>
    <row r="1" ht="23.25" customHeight="1" spans="1:15">
      <c r="A1" s="294" t="s">
        <v>0</v>
      </c>
      <c r="B1" s="295"/>
      <c r="C1" s="295"/>
      <c r="D1" s="295"/>
    </row>
    <row r="2" ht="20.25" customHeight="1" spans="1:15">
      <c r="A2" s="296" t="s">
        <v>1</v>
      </c>
      <c r="B2" s="297" t="s">
        <v>2</v>
      </c>
      <c r="C2" s="298" t="s">
        <v>3</v>
      </c>
      <c r="D2" s="297" t="s">
        <v>4</v>
      </c>
      <c r="E2" s="299" t="s">
        <v>5</v>
      </c>
      <c r="F2" s="300" t="s">
        <v>6</v>
      </c>
      <c r="G2" s="300" t="s">
        <v>7</v>
      </c>
      <c r="H2" s="300" t="s">
        <v>8</v>
      </c>
      <c r="I2" s="300" t="s">
        <v>9</v>
      </c>
      <c r="J2" s="299" t="s">
        <v>10</v>
      </c>
      <c r="K2" s="301" t="s">
        <v>11</v>
      </c>
    </row>
    <row r="3" ht="20.25" customHeight="1" spans="1:15">
      <c r="A3" s="97">
        <v>1</v>
      </c>
      <c r="B3" s="299" t="s">
        <v>12</v>
      </c>
      <c r="C3" s="298" t="s">
        <v>12</v>
      </c>
      <c r="D3" s="10"/>
      <c r="E3" s="299" t="s">
        <v>13</v>
      </c>
      <c r="F3" s="302"/>
      <c r="G3" s="302"/>
      <c r="H3" s="302"/>
      <c r="I3" s="302"/>
      <c r="J3" s="303" t="s">
        <v>14</v>
      </c>
    </row>
    <row r="4" ht="20.25" customHeight="1" spans="1:15">
      <c r="A4" s="97">
        <v>2</v>
      </c>
      <c r="B4" s="299" t="s">
        <v>15</v>
      </c>
      <c r="C4" s="298" t="s">
        <v>15</v>
      </c>
      <c r="D4" s="10"/>
      <c r="E4" s="299" t="s">
        <v>16</v>
      </c>
      <c r="F4" s="302" t="s">
        <v>17</v>
      </c>
      <c r="G4" s="302" t="s">
        <v>16</v>
      </c>
      <c r="H4" s="302" t="s">
        <v>18</v>
      </c>
      <c r="I4" s="302"/>
      <c r="J4" s="10"/>
    </row>
    <row r="5" ht="33.75" customHeight="1" spans="1:15">
      <c r="A5" s="97">
        <v>3</v>
      </c>
      <c r="B5" s="300" t="s">
        <v>19</v>
      </c>
      <c r="C5" s="298" t="s">
        <v>20</v>
      </c>
      <c r="D5" s="10"/>
      <c r="E5" s="299" t="s">
        <v>21</v>
      </c>
      <c r="F5" s="302" t="s">
        <v>22</v>
      </c>
      <c r="G5" s="302" t="s">
        <v>21</v>
      </c>
      <c r="H5" s="302" t="s">
        <v>18</v>
      </c>
      <c r="I5" s="302"/>
      <c r="J5" s="10"/>
    </row>
    <row r="6" ht="20.25" customHeight="1" spans="1:15">
      <c r="A6" s="97">
        <v>4</v>
      </c>
      <c r="B6" s="299" t="s">
        <v>23</v>
      </c>
      <c r="C6" s="298" t="s">
        <v>23</v>
      </c>
      <c r="D6" s="12"/>
      <c r="E6" s="299" t="s">
        <v>24</v>
      </c>
      <c r="F6" s="302" t="s">
        <v>25</v>
      </c>
      <c r="G6" s="302" t="s">
        <v>26</v>
      </c>
      <c r="H6" s="302" t="s">
        <v>18</v>
      </c>
      <c r="I6" s="302"/>
      <c r="J6" s="6"/>
      <c r="K6" s="27"/>
      <c r="L6" s="27"/>
      <c r="M6" s="27"/>
      <c r="N6" s="27"/>
      <c r="O6" s="27"/>
    </row>
    <row r="7" ht="20.25" customHeight="1" spans="1:15">
      <c r="A7" s="97">
        <v>5</v>
      </c>
      <c r="B7" s="299" t="s">
        <v>27</v>
      </c>
      <c r="C7" s="298" t="s">
        <v>27</v>
      </c>
      <c r="D7" s="12"/>
      <c r="E7" s="10" t="s">
        <v>24</v>
      </c>
      <c r="F7" s="302" t="s">
        <v>27</v>
      </c>
      <c r="G7" s="302" t="s">
        <v>26</v>
      </c>
      <c r="H7" s="302" t="s">
        <v>18</v>
      </c>
      <c r="I7" s="302"/>
      <c r="J7" s="304"/>
    </row>
    <row r="8" ht="28.5" customHeight="1" spans="1:15">
      <c r="A8" s="97">
        <v>6</v>
      </c>
      <c r="B8" s="299" t="s">
        <v>28</v>
      </c>
      <c r="C8" s="298" t="s">
        <v>28</v>
      </c>
      <c r="D8" s="12"/>
      <c r="E8" s="10" t="s">
        <v>24</v>
      </c>
      <c r="F8" s="302" t="s">
        <v>29</v>
      </c>
      <c r="G8" s="302" t="s">
        <v>26</v>
      </c>
      <c r="H8" s="302" t="s">
        <v>30</v>
      </c>
      <c r="I8" s="302"/>
      <c r="J8" s="304"/>
    </row>
    <row r="9" ht="28.5" customHeight="1" spans="1:15">
      <c r="A9" s="97">
        <v>7</v>
      </c>
      <c r="B9" s="299" t="s">
        <v>31</v>
      </c>
      <c r="C9" s="298" t="s">
        <v>31</v>
      </c>
      <c r="D9" s="12"/>
      <c r="E9" s="299" t="s">
        <v>32</v>
      </c>
      <c r="F9" s="302" t="s">
        <v>33</v>
      </c>
      <c r="G9" s="302" t="s">
        <v>32</v>
      </c>
      <c r="H9" s="302" t="s">
        <v>30</v>
      </c>
      <c r="I9" s="302"/>
      <c r="J9" s="304"/>
    </row>
    <row r="10" ht="28.5" customHeight="1" spans="1:15">
      <c r="A10" s="97">
        <v>8</v>
      </c>
      <c r="B10" s="299" t="s">
        <v>34</v>
      </c>
      <c r="C10" s="298" t="s">
        <v>35</v>
      </c>
      <c r="D10" s="299"/>
      <c r="E10" s="299" t="s">
        <v>13</v>
      </c>
      <c r="F10" s="302" t="s">
        <v>36</v>
      </c>
      <c r="G10" s="302"/>
      <c r="H10" s="302" t="s">
        <v>18</v>
      </c>
      <c r="I10" s="302" t="s">
        <v>37</v>
      </c>
      <c r="J10" s="304"/>
    </row>
    <row r="11" ht="152.25" customHeight="1" spans="1:15">
      <c r="A11" s="97">
        <v>9</v>
      </c>
      <c r="B11" s="10" t="s">
        <v>38</v>
      </c>
      <c r="C11" s="298" t="s">
        <v>38</v>
      </c>
      <c r="D11" s="10" t="s">
        <v>39</v>
      </c>
      <c r="E11" s="299" t="s">
        <v>13</v>
      </c>
      <c r="F11" s="302" t="s">
        <v>40</v>
      </c>
      <c r="G11" s="302"/>
      <c r="H11" s="302"/>
      <c r="I11" s="302" t="s">
        <v>41</v>
      </c>
      <c r="J11" s="304"/>
    </row>
    <row r="12" ht="20.25" customHeight="1" spans="1:15">
      <c r="A12" s="97">
        <v>10</v>
      </c>
      <c r="B12" s="10" t="s">
        <v>42</v>
      </c>
      <c r="C12" s="298" t="s">
        <v>42</v>
      </c>
      <c r="D12" s="12"/>
      <c r="E12" s="299" t="s">
        <v>13</v>
      </c>
      <c r="F12" s="302"/>
      <c r="G12" s="302"/>
      <c r="H12" s="302"/>
      <c r="I12" s="302" t="s">
        <v>43</v>
      </c>
      <c r="J12" s="305" t="s">
        <v>14</v>
      </c>
    </row>
    <row r="13" ht="21" customHeight="1" spans="1:15">
      <c r="A13" s="97">
        <v>11</v>
      </c>
      <c r="B13" s="10" t="s">
        <v>44</v>
      </c>
      <c r="C13" s="298" t="s">
        <v>44</v>
      </c>
      <c r="D13" s="299" t="s">
        <v>45</v>
      </c>
      <c r="E13" s="299" t="s">
        <v>13</v>
      </c>
      <c r="F13" s="302" t="s">
        <v>46</v>
      </c>
      <c r="G13" s="302"/>
      <c r="H13" s="302" t="s">
        <v>18</v>
      </c>
      <c r="I13" s="302" t="s">
        <v>47</v>
      </c>
      <c r="J13" s="10"/>
    </row>
    <row r="14" ht="20.25" customHeight="1" spans="1:15">
      <c r="A14" s="97">
        <v>12</v>
      </c>
      <c r="B14" s="299" t="s">
        <v>48</v>
      </c>
      <c r="C14" s="298" t="s">
        <v>49</v>
      </c>
      <c r="D14" s="306"/>
      <c r="E14" s="299" t="s">
        <v>13</v>
      </c>
      <c r="F14" s="302" t="s">
        <v>50</v>
      </c>
      <c r="G14" s="302" t="s">
        <v>51</v>
      </c>
      <c r="H14" s="302" t="s">
        <v>30</v>
      </c>
      <c r="I14" s="302" t="s">
        <v>50</v>
      </c>
      <c r="J14" s="10"/>
    </row>
    <row r="15" ht="28.5" customHeight="1" spans="1:15">
      <c r="A15" s="97">
        <v>13</v>
      </c>
      <c r="B15" s="299" t="s">
        <v>52</v>
      </c>
      <c r="C15" s="298" t="s">
        <v>53</v>
      </c>
      <c r="D15" s="12"/>
      <c r="E15" s="299" t="s">
        <v>13</v>
      </c>
      <c r="F15" s="302" t="s">
        <v>54</v>
      </c>
      <c r="G15" s="302" t="s">
        <v>55</v>
      </c>
      <c r="H15" s="302" t="s">
        <v>30</v>
      </c>
      <c r="I15" s="302" t="s">
        <v>56</v>
      </c>
      <c r="J15" s="10"/>
    </row>
    <row r="16" ht="20.25" customHeight="1" spans="1:15">
      <c r="A16" s="97">
        <v>14</v>
      </c>
      <c r="B16" s="299" t="s">
        <v>57</v>
      </c>
      <c r="C16" s="298" t="s">
        <v>57</v>
      </c>
      <c r="E16" s="299" t="s">
        <v>58</v>
      </c>
      <c r="F16" s="302" t="s">
        <v>59</v>
      </c>
      <c r="G16" s="302" t="s">
        <v>60</v>
      </c>
      <c r="H16" s="302" t="s">
        <v>30</v>
      </c>
      <c r="I16" s="302"/>
      <c r="J16" s="10"/>
    </row>
    <row r="17" ht="62.25" customHeight="1" spans="1:11">
      <c r="A17" s="97">
        <v>15</v>
      </c>
      <c r="B17" s="299" t="s">
        <v>61</v>
      </c>
      <c r="C17" s="298" t="s">
        <v>62</v>
      </c>
      <c r="D17" s="299" t="s">
        <v>63</v>
      </c>
      <c r="E17" s="299" t="s">
        <v>16</v>
      </c>
      <c r="F17" s="302" t="s">
        <v>64</v>
      </c>
      <c r="G17" s="302"/>
      <c r="H17" s="302" t="s">
        <v>30</v>
      </c>
      <c r="I17" s="307"/>
      <c r="J17" s="10"/>
      <c r="K17" s="300" t="s">
        <v>19</v>
      </c>
    </row>
    <row r="18" ht="20.25" customHeight="1" spans="1:11">
      <c r="A18" s="97">
        <v>16</v>
      </c>
      <c r="B18" s="299" t="s">
        <v>65</v>
      </c>
      <c r="C18" s="298" t="s">
        <v>66</v>
      </c>
      <c r="D18" s="10"/>
      <c r="E18" s="299" t="s">
        <v>67</v>
      </c>
      <c r="F18" s="302" t="s">
        <v>68</v>
      </c>
      <c r="G18" s="302" t="s">
        <v>67</v>
      </c>
      <c r="H18" s="302" t="s">
        <v>18</v>
      </c>
      <c r="I18" s="307"/>
      <c r="J18" s="10"/>
    </row>
    <row r="19" ht="33.75" customHeight="1" spans="1:11">
      <c r="A19" s="97">
        <v>17</v>
      </c>
      <c r="B19" s="300" t="s">
        <v>69</v>
      </c>
      <c r="C19" s="298" t="s">
        <v>70</v>
      </c>
      <c r="D19" s="10"/>
      <c r="E19" s="299" t="s">
        <v>71</v>
      </c>
      <c r="F19" s="302" t="s">
        <v>72</v>
      </c>
      <c r="G19" s="302" t="s">
        <v>73</v>
      </c>
      <c r="H19" s="302" t="s">
        <v>18</v>
      </c>
      <c r="I19" s="307"/>
      <c r="J19" s="10"/>
    </row>
    <row r="20" ht="20.25" customHeight="1" spans="1:11">
      <c r="A20" s="97">
        <v>18</v>
      </c>
      <c r="B20" s="299" t="s">
        <v>74</v>
      </c>
      <c r="C20" s="298" t="s">
        <v>74</v>
      </c>
      <c r="D20" s="308"/>
      <c r="E20" s="299" t="s">
        <v>75</v>
      </c>
      <c r="F20" s="302" t="s">
        <v>76</v>
      </c>
      <c r="G20" s="302"/>
      <c r="H20" s="302" t="s">
        <v>18</v>
      </c>
      <c r="I20" s="307"/>
      <c r="J20" s="10"/>
    </row>
    <row r="21" ht="20.25" customHeight="1" spans="1:11">
      <c r="A21" s="97">
        <v>19</v>
      </c>
      <c r="B21" s="299" t="s">
        <v>77</v>
      </c>
      <c r="C21" s="298" t="s">
        <v>77</v>
      </c>
      <c r="D21" s="308"/>
      <c r="E21" s="299" t="s">
        <v>75</v>
      </c>
      <c r="F21" s="302" t="s">
        <v>78</v>
      </c>
      <c r="G21" s="302"/>
      <c r="H21" s="302" t="s">
        <v>18</v>
      </c>
      <c r="I21" s="307"/>
      <c r="J21" s="299"/>
    </row>
    <row r="22" ht="20.25" customHeight="1" spans="1:11">
      <c r="A22" s="97">
        <v>20</v>
      </c>
      <c r="B22" s="299" t="s">
        <v>79</v>
      </c>
      <c r="C22" s="298" t="s">
        <v>79</v>
      </c>
      <c r="D22" s="308"/>
      <c r="E22" s="299" t="s">
        <v>75</v>
      </c>
      <c r="F22" s="302" t="s">
        <v>80</v>
      </c>
      <c r="G22" s="302"/>
      <c r="H22" s="302" t="s">
        <v>18</v>
      </c>
      <c r="I22" s="307"/>
      <c r="J22" s="10"/>
    </row>
    <row r="23" s="292" customFormat="1" ht="23.25" customHeight="1" spans="1:11">
      <c r="A23" s="309">
        <v>21</v>
      </c>
      <c r="B23" s="310" t="s">
        <v>81</v>
      </c>
      <c r="C23" s="310"/>
      <c r="D23" s="311"/>
      <c r="E23" s="312" t="s">
        <v>82</v>
      </c>
      <c r="F23" s="313" t="s">
        <v>83</v>
      </c>
      <c r="G23" s="313" t="s">
        <v>84</v>
      </c>
      <c r="H23" s="314" t="s">
        <v>18</v>
      </c>
      <c r="I23" s="315"/>
      <c r="J23" s="288"/>
    </row>
    <row r="24" s="292" customFormat="1" ht="21" customHeight="1" spans="1:11">
      <c r="A24" s="309">
        <v>22</v>
      </c>
      <c r="B24" s="312" t="s">
        <v>85</v>
      </c>
      <c r="C24" s="312"/>
      <c r="D24" s="287"/>
      <c r="E24" s="312" t="s">
        <v>86</v>
      </c>
      <c r="F24" s="313" t="s">
        <v>87</v>
      </c>
      <c r="G24" s="313" t="s">
        <v>86</v>
      </c>
      <c r="H24" s="314" t="s">
        <v>18</v>
      </c>
      <c r="I24" s="315"/>
      <c r="J24" s="288"/>
    </row>
  </sheetData>
  <mergeCells count="1">
    <mergeCell ref="A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38"/>
  <sheetViews>
    <sheetView workbookViewId="0">
      <selection activeCell="A1" sqref="A1"/>
    </sheetView>
  </sheetViews>
  <sheetFormatPr defaultColWidth="8.83333333333333" defaultRowHeight="13.5" outlineLevelCol="7"/>
  <cols>
    <col min="1" max="1" width="12.5" style="113" customWidth="1"/>
    <col min="2" max="2" width="21.5" customWidth="1"/>
    <col min="3" max="3" width="12.5" customWidth="1"/>
    <col min="4" max="4" width="21.8333333333333" customWidth="1"/>
    <col min="5" max="6" width="12.5" customWidth="1"/>
    <col min="7" max="7" width="13.1666666666667" customWidth="1"/>
    <col min="8" max="8" width="12.5" customWidth="1"/>
  </cols>
  <sheetData>
    <row r="1" ht="17.25" customHeight="1" spans="1:8">
      <c r="A1" s="113" t="s">
        <v>1</v>
      </c>
      <c r="B1" t="s">
        <v>88</v>
      </c>
      <c r="D1" t="s">
        <v>89</v>
      </c>
      <c r="E1" s="287" t="str">
        <f>_xlfn.XLOOKUP(基本信息!D11,B:B,D:D,"",0)</f>
        <v>天津</v>
      </c>
      <c r="G1" t="s">
        <v>90</v>
      </c>
      <c r="H1" s="288" t="str">
        <f>_xlfn.XLOOKUP(基本信息!D11,B:B,G:G,"",0)</f>
        <v>华北</v>
      </c>
    </row>
    <row r="2" ht="17.25" customHeight="1" spans="1:8">
      <c r="A2" s="289">
        <v>1</v>
      </c>
      <c r="B2" t="s">
        <v>91</v>
      </c>
      <c r="D2" t="s">
        <v>91</v>
      </c>
      <c r="G2" t="s">
        <v>92</v>
      </c>
    </row>
    <row r="3" ht="17.25" customHeight="1" spans="1:8">
      <c r="A3" s="289">
        <f t="shared" ref="A3:A38" si="0">A2+1</f>
        <v>2</v>
      </c>
      <c r="B3" t="s">
        <v>39</v>
      </c>
      <c r="D3" t="s">
        <v>39</v>
      </c>
      <c r="G3" t="s">
        <v>92</v>
      </c>
    </row>
    <row r="4" ht="17.25" customHeight="1" spans="1:8">
      <c r="A4" s="289">
        <f t="shared" si="0"/>
        <v>3</v>
      </c>
      <c r="B4" t="s">
        <v>93</v>
      </c>
      <c r="D4" t="s">
        <v>94</v>
      </c>
      <c r="G4" t="s">
        <v>92</v>
      </c>
    </row>
    <row r="5" ht="17.25" customHeight="1" spans="1:8">
      <c r="A5" s="289">
        <f t="shared" si="0"/>
        <v>4</v>
      </c>
      <c r="B5" t="s">
        <v>95</v>
      </c>
      <c r="D5" t="s">
        <v>96</v>
      </c>
      <c r="G5" t="s">
        <v>92</v>
      </c>
    </row>
    <row r="6" ht="17.25" customHeight="1" spans="1:8">
      <c r="A6" s="289">
        <f t="shared" si="0"/>
        <v>5</v>
      </c>
      <c r="B6" t="s">
        <v>97</v>
      </c>
      <c r="D6" t="s">
        <v>97</v>
      </c>
      <c r="G6" t="s">
        <v>92</v>
      </c>
    </row>
    <row r="7" ht="17.25" customHeight="1" spans="1:8">
      <c r="A7" s="289">
        <f t="shared" si="0"/>
        <v>6</v>
      </c>
      <c r="B7" t="s">
        <v>98</v>
      </c>
      <c r="D7" t="s">
        <v>98</v>
      </c>
      <c r="G7" t="s">
        <v>99</v>
      </c>
    </row>
    <row r="8" ht="17.25" customHeight="1" spans="1:8">
      <c r="A8" s="289">
        <f t="shared" si="0"/>
        <v>7</v>
      </c>
      <c r="B8" s="290" t="s">
        <v>100</v>
      </c>
      <c r="D8" s="290" t="s">
        <v>101</v>
      </c>
      <c r="G8" t="s">
        <v>99</v>
      </c>
    </row>
    <row r="9" ht="17.25" customHeight="1" spans="1:8">
      <c r="A9" s="289">
        <f t="shared" si="0"/>
        <v>8</v>
      </c>
      <c r="B9" t="s">
        <v>102</v>
      </c>
      <c r="D9" t="s">
        <v>102</v>
      </c>
      <c r="G9" t="s">
        <v>99</v>
      </c>
    </row>
    <row r="10" ht="17.25" customHeight="1" spans="1:8">
      <c r="A10" s="289">
        <f t="shared" si="0"/>
        <v>9</v>
      </c>
      <c r="B10" t="s">
        <v>103</v>
      </c>
      <c r="D10" t="s">
        <v>103</v>
      </c>
      <c r="G10" t="s">
        <v>104</v>
      </c>
    </row>
    <row r="11" ht="17.25" customHeight="1" spans="1:8">
      <c r="A11" s="289">
        <f t="shared" si="0"/>
        <v>10</v>
      </c>
      <c r="B11" t="s">
        <v>105</v>
      </c>
      <c r="D11" t="s">
        <v>105</v>
      </c>
      <c r="G11" t="s">
        <v>104</v>
      </c>
    </row>
    <row r="12" ht="17.25" customHeight="1" spans="1:8">
      <c r="A12" s="289">
        <f t="shared" si="0"/>
        <v>11</v>
      </c>
      <c r="B12" t="s">
        <v>106</v>
      </c>
      <c r="D12" t="s">
        <v>106</v>
      </c>
      <c r="G12" t="s">
        <v>104</v>
      </c>
    </row>
    <row r="13" ht="17.25" customHeight="1" spans="1:8">
      <c r="A13" s="289">
        <f t="shared" si="0"/>
        <v>12</v>
      </c>
      <c r="B13" t="s">
        <v>107</v>
      </c>
      <c r="D13" t="s">
        <v>107</v>
      </c>
      <c r="G13" t="s">
        <v>104</v>
      </c>
    </row>
    <row r="14" ht="17.25" customHeight="1" spans="1:8">
      <c r="A14" s="289">
        <f t="shared" si="0"/>
        <v>13</v>
      </c>
      <c r="B14" t="s">
        <v>108</v>
      </c>
      <c r="D14" t="s">
        <v>108</v>
      </c>
      <c r="G14" t="s">
        <v>104</v>
      </c>
    </row>
    <row r="15" ht="17.25" customHeight="1" spans="1:8">
      <c r="A15" s="289">
        <f t="shared" si="0"/>
        <v>14</v>
      </c>
      <c r="B15" s="290" t="s">
        <v>109</v>
      </c>
      <c r="D15" s="290" t="s">
        <v>110</v>
      </c>
      <c r="G15" t="s">
        <v>104</v>
      </c>
    </row>
    <row r="16" ht="17.25" customHeight="1" spans="1:8">
      <c r="A16" s="289">
        <f t="shared" si="0"/>
        <v>15</v>
      </c>
      <c r="B16" t="s">
        <v>111</v>
      </c>
      <c r="D16" t="s">
        <v>111</v>
      </c>
      <c r="G16" t="s">
        <v>104</v>
      </c>
    </row>
    <row r="17" ht="17.25" customHeight="1" spans="1:7">
      <c r="A17" s="289">
        <f t="shared" si="0"/>
        <v>16</v>
      </c>
      <c r="B17" t="s">
        <v>112</v>
      </c>
      <c r="D17" t="s">
        <v>112</v>
      </c>
      <c r="G17" t="s">
        <v>113</v>
      </c>
    </row>
    <row r="18" ht="17.25" customHeight="1" spans="1:7">
      <c r="A18" s="289">
        <f t="shared" si="0"/>
        <v>17</v>
      </c>
      <c r="B18" s="290" t="s">
        <v>114</v>
      </c>
      <c r="D18" s="290" t="s">
        <v>115</v>
      </c>
      <c r="G18" t="s">
        <v>113</v>
      </c>
    </row>
    <row r="19" ht="17.25" customHeight="1" spans="1:7">
      <c r="A19" s="289">
        <f t="shared" si="0"/>
        <v>18</v>
      </c>
      <c r="B19" s="290" t="s">
        <v>116</v>
      </c>
      <c r="D19" s="290" t="s">
        <v>117</v>
      </c>
      <c r="G19" t="s">
        <v>113</v>
      </c>
    </row>
    <row r="20" ht="17.25" customHeight="1" spans="1:7">
      <c r="A20" s="289">
        <f t="shared" si="0"/>
        <v>19</v>
      </c>
      <c r="B20" t="s">
        <v>118</v>
      </c>
      <c r="D20" t="s">
        <v>118</v>
      </c>
      <c r="G20" t="s">
        <v>119</v>
      </c>
    </row>
    <row r="21" ht="17.25" customHeight="1" spans="1:7">
      <c r="A21" s="289">
        <f t="shared" si="0"/>
        <v>20</v>
      </c>
      <c r="B21" t="s">
        <v>120</v>
      </c>
      <c r="D21" t="s">
        <v>120</v>
      </c>
      <c r="G21" t="s">
        <v>119</v>
      </c>
    </row>
    <row r="22" ht="17.25" customHeight="1" spans="1:7">
      <c r="A22" s="289">
        <f t="shared" si="0"/>
        <v>21</v>
      </c>
      <c r="B22" s="291" t="s">
        <v>121</v>
      </c>
      <c r="D22" s="291" t="s">
        <v>110</v>
      </c>
      <c r="G22" t="s">
        <v>104</v>
      </c>
    </row>
    <row r="23" ht="17.25" customHeight="1" spans="1:7">
      <c r="A23" s="289">
        <f t="shared" si="0"/>
        <v>22</v>
      </c>
      <c r="B23" s="291" t="s">
        <v>122</v>
      </c>
      <c r="D23" s="291" t="s">
        <v>117</v>
      </c>
      <c r="G23" t="s">
        <v>113</v>
      </c>
    </row>
    <row r="24" ht="17.25" customHeight="1" spans="1:7">
      <c r="A24" s="289">
        <f t="shared" si="0"/>
        <v>23</v>
      </c>
      <c r="B24" s="291" t="s">
        <v>123</v>
      </c>
      <c r="D24" s="291" t="s">
        <v>115</v>
      </c>
      <c r="G24" t="s">
        <v>113</v>
      </c>
    </row>
    <row r="25" ht="17.25" customHeight="1" spans="1:7">
      <c r="A25" s="289">
        <f t="shared" si="0"/>
        <v>24</v>
      </c>
      <c r="B25" s="291" t="s">
        <v>124</v>
      </c>
      <c r="D25" s="291" t="s">
        <v>101</v>
      </c>
      <c r="G25" t="s">
        <v>99</v>
      </c>
    </row>
    <row r="26" ht="17.25" customHeight="1" spans="1:7">
      <c r="A26" s="289">
        <f t="shared" si="0"/>
        <v>25</v>
      </c>
      <c r="B26" s="291" t="s">
        <v>125</v>
      </c>
      <c r="D26" s="291" t="s">
        <v>125</v>
      </c>
      <c r="G26" t="s">
        <v>119</v>
      </c>
    </row>
    <row r="27" ht="17.25" customHeight="1" spans="1:7">
      <c r="A27" s="289">
        <f t="shared" si="0"/>
        <v>26</v>
      </c>
      <c r="B27" s="291" t="s">
        <v>126</v>
      </c>
      <c r="D27" s="291" t="s">
        <v>127</v>
      </c>
      <c r="G27" t="s">
        <v>92</v>
      </c>
    </row>
    <row r="28" ht="17.25" customHeight="1" spans="1:7">
      <c r="A28" s="289">
        <f t="shared" si="0"/>
        <v>27</v>
      </c>
      <c r="B28" s="291" t="s">
        <v>128</v>
      </c>
      <c r="D28" s="291" t="s">
        <v>129</v>
      </c>
      <c r="G28" t="s">
        <v>92</v>
      </c>
    </row>
    <row r="29" ht="17.25" customHeight="1" spans="1:7">
      <c r="A29" s="289">
        <f t="shared" si="0"/>
        <v>28</v>
      </c>
      <c r="B29" s="291" t="s">
        <v>130</v>
      </c>
      <c r="D29" s="291" t="s">
        <v>130</v>
      </c>
      <c r="G29" t="s">
        <v>131</v>
      </c>
    </row>
    <row r="30" ht="17.25" customHeight="1" spans="1:7">
      <c r="A30" s="289">
        <f t="shared" si="0"/>
        <v>29</v>
      </c>
      <c r="B30" s="291" t="s">
        <v>132</v>
      </c>
      <c r="D30" s="291" t="s">
        <v>132</v>
      </c>
      <c r="G30" t="s">
        <v>131</v>
      </c>
    </row>
    <row r="31" ht="17.25" customHeight="1" spans="1:7">
      <c r="A31" s="289">
        <f t="shared" si="0"/>
        <v>30</v>
      </c>
      <c r="B31" s="291" t="s">
        <v>133</v>
      </c>
      <c r="D31" s="291" t="s">
        <v>133</v>
      </c>
      <c r="G31" t="s">
        <v>131</v>
      </c>
    </row>
    <row r="32" ht="17.25" customHeight="1" spans="1:7">
      <c r="A32" s="289">
        <f t="shared" si="0"/>
        <v>31</v>
      </c>
      <c r="B32" s="291" t="s">
        <v>134</v>
      </c>
      <c r="D32" s="291" t="s">
        <v>134</v>
      </c>
      <c r="G32" t="s">
        <v>131</v>
      </c>
    </row>
    <row r="33" ht="17.25" customHeight="1" spans="1:7">
      <c r="A33" s="289">
        <f t="shared" si="0"/>
        <v>32</v>
      </c>
      <c r="B33" s="291" t="s">
        <v>135</v>
      </c>
      <c r="D33" s="291" t="s">
        <v>135</v>
      </c>
      <c r="G33" t="s">
        <v>131</v>
      </c>
    </row>
    <row r="34" ht="17.25" customHeight="1" spans="1:7">
      <c r="A34" s="289">
        <f t="shared" si="0"/>
        <v>33</v>
      </c>
      <c r="B34" s="291" t="s">
        <v>136</v>
      </c>
      <c r="D34" s="291" t="s">
        <v>136</v>
      </c>
      <c r="G34" t="s">
        <v>137</v>
      </c>
    </row>
    <row r="35" ht="17.25" customHeight="1" spans="1:7">
      <c r="A35" s="289">
        <f t="shared" si="0"/>
        <v>34</v>
      </c>
      <c r="B35" s="291" t="s">
        <v>138</v>
      </c>
      <c r="D35" s="291" t="s">
        <v>138</v>
      </c>
      <c r="G35" t="s">
        <v>137</v>
      </c>
    </row>
    <row r="36" ht="17.25" customHeight="1" spans="1:7">
      <c r="A36" s="289">
        <f t="shared" si="0"/>
        <v>35</v>
      </c>
      <c r="B36" s="291" t="s">
        <v>139</v>
      </c>
      <c r="D36" s="291" t="s">
        <v>139</v>
      </c>
      <c r="G36" t="s">
        <v>137</v>
      </c>
    </row>
    <row r="37" ht="17.25" customHeight="1" spans="1:7">
      <c r="A37" s="289">
        <f t="shared" si="0"/>
        <v>36</v>
      </c>
      <c r="B37" s="291" t="s">
        <v>140</v>
      </c>
      <c r="D37" s="291" t="s">
        <v>140</v>
      </c>
      <c r="G37" t="s">
        <v>137</v>
      </c>
    </row>
    <row r="38" ht="17.25" customHeight="1" spans="1:7">
      <c r="A38" s="289">
        <f t="shared" si="0"/>
        <v>37</v>
      </c>
      <c r="B38" s="291" t="s">
        <v>141</v>
      </c>
      <c r="D38" s="291" t="s">
        <v>141</v>
      </c>
      <c r="G38" t="s">
        <v>137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AF58"/>
  <sheetViews>
    <sheetView workbookViewId="0">
      <selection activeCell="A1" sqref="A1"/>
    </sheetView>
  </sheetViews>
  <sheetFormatPr defaultColWidth="8.83333333333333" defaultRowHeight="13.5"/>
  <cols>
    <col min="1" max="1" width="3.5" customWidth="1"/>
    <col min="2" max="2" width="8.5" style="71" customWidth="1"/>
    <col min="3" max="3" width="12.5" style="2" customWidth="1"/>
    <col min="4" max="4" width="10" style="13" customWidth="1"/>
    <col min="5" max="5" width="10.1666666666667" style="13" customWidth="1"/>
    <col min="6" max="6" width="9.16666666666667" style="13" customWidth="1"/>
    <col min="7" max="7" width="10.8333333333333" style="13" customWidth="1"/>
    <col min="8" max="8" width="7.5" style="13" customWidth="1"/>
    <col min="9" max="9" width="7" style="13" customWidth="1"/>
    <col min="10" max="10" width="11.5" style="13" customWidth="1"/>
    <col min="11" max="11" width="10.1666666666667" style="13" customWidth="1"/>
    <col min="12" max="12" width="11.8333333333333" style="13" customWidth="1"/>
    <col min="13" max="13" width="11" style="13" customWidth="1"/>
    <col min="14" max="14" width="13.1666666666667" style="13" customWidth="1"/>
    <col min="15" max="15" width="12.5" style="13" customWidth="1"/>
    <col min="16" max="16" width="13" style="13" customWidth="1"/>
    <col min="17" max="18" width="12.1666666666667" style="3" customWidth="1"/>
    <col min="19" max="19" width="8.83333333333333" style="71" customWidth="1"/>
    <col min="20" max="20" width="8.5" style="3" customWidth="1"/>
    <col min="21" max="21" width="8.16666666666667" style="71" customWidth="1"/>
    <col min="22" max="22" width="8.5" style="71" customWidth="1"/>
    <col min="23" max="23" width="9.83333333333333" style="71" customWidth="1"/>
    <col min="24" max="24" width="10.5" style="71" customWidth="1"/>
    <col min="25" max="25" width="9.83333333333333" style="71" customWidth="1"/>
    <col min="26" max="26" width="7.5" style="71" customWidth="1"/>
    <col min="27" max="27" width="9.5" style="71" customWidth="1"/>
    <col min="28" max="28" width="9.5" style="3" customWidth="1"/>
    <col min="29" max="29" width="12.5" style="3" customWidth="1"/>
    <col min="30" max="30" width="12.5" style="71" customWidth="1"/>
    <col min="31" max="32" width="12.5" style="3" customWidth="1"/>
  </cols>
  <sheetData>
    <row r="1" ht="17.25" customHeight="1" spans="2:32">
      <c r="B1" s="75" t="s">
        <v>142</v>
      </c>
    </row>
    <row r="2" ht="38.5" customHeight="1" spans="2:32">
      <c r="B2" s="102" t="s">
        <v>1</v>
      </c>
      <c r="C2" s="194" t="s">
        <v>143</v>
      </c>
      <c r="D2" s="195" t="s">
        <v>144</v>
      </c>
      <c r="E2" s="196" t="s">
        <v>145</v>
      </c>
      <c r="F2" s="196"/>
      <c r="G2" s="196"/>
      <c r="H2" s="196"/>
      <c r="I2" s="196"/>
      <c r="J2" s="196" t="s">
        <v>146</v>
      </c>
      <c r="K2" s="196"/>
      <c r="L2" s="196" t="s">
        <v>147</v>
      </c>
      <c r="M2" s="196"/>
      <c r="N2" s="196"/>
      <c r="O2" s="196" t="s">
        <v>148</v>
      </c>
      <c r="P2" s="196"/>
      <c r="Q2" s="197" t="s">
        <v>149</v>
      </c>
      <c r="R2" s="197"/>
      <c r="S2" s="196"/>
      <c r="T2" s="197"/>
      <c r="U2" s="196" t="s">
        <v>150</v>
      </c>
      <c r="V2" s="196"/>
      <c r="W2" s="196" t="s">
        <v>151</v>
      </c>
      <c r="X2" s="196"/>
      <c r="Y2" s="196" t="s">
        <v>152</v>
      </c>
      <c r="Z2" s="196"/>
    </row>
    <row r="3" ht="17.25" customHeight="1" spans="2:32">
      <c r="B3" s="20"/>
      <c r="C3" s="197"/>
      <c r="D3" s="198"/>
      <c r="E3" s="196" t="s">
        <v>153</v>
      </c>
      <c r="F3" s="196" t="s">
        <v>154</v>
      </c>
      <c r="G3" s="196" t="s">
        <v>155</v>
      </c>
      <c r="H3" s="196" t="s">
        <v>156</v>
      </c>
      <c r="I3" s="196" t="s">
        <v>157</v>
      </c>
      <c r="J3" s="196" t="s">
        <v>158</v>
      </c>
      <c r="K3" s="196" t="s">
        <v>159</v>
      </c>
      <c r="L3" s="196" t="s">
        <v>160</v>
      </c>
      <c r="M3" s="196" t="s">
        <v>161</v>
      </c>
      <c r="N3" s="196" t="s">
        <v>162</v>
      </c>
      <c r="O3" s="196" t="s">
        <v>163</v>
      </c>
      <c r="P3" s="196" t="s">
        <v>164</v>
      </c>
      <c r="Q3" s="197" t="s">
        <v>165</v>
      </c>
      <c r="R3" s="197" t="s">
        <v>166</v>
      </c>
      <c r="S3" s="196" t="s">
        <v>167</v>
      </c>
      <c r="T3" s="197" t="s">
        <v>168</v>
      </c>
      <c r="U3" s="196" t="s">
        <v>169</v>
      </c>
      <c r="V3" s="196" t="s">
        <v>170</v>
      </c>
      <c r="W3" s="199" t="s">
        <v>171</v>
      </c>
      <c r="X3" s="199" t="s">
        <v>172</v>
      </c>
      <c r="Y3" s="199" t="s">
        <v>18</v>
      </c>
      <c r="Z3" s="199" t="s">
        <v>30</v>
      </c>
    </row>
    <row r="4" ht="17.25" customHeight="1" spans="2:32">
      <c r="B4" s="23">
        <v>1</v>
      </c>
      <c r="C4" s="189" t="s">
        <v>173</v>
      </c>
      <c r="D4" s="200">
        <v>22.4</v>
      </c>
      <c r="E4" s="189">
        <v>1.05</v>
      </c>
      <c r="F4" s="201">
        <v>1</v>
      </c>
      <c r="G4" s="189">
        <v>0.95</v>
      </c>
      <c r="H4" s="189">
        <v>0.9</v>
      </c>
      <c r="I4" s="189">
        <v>0.9</v>
      </c>
      <c r="J4" s="201">
        <v>1</v>
      </c>
      <c r="K4" s="201">
        <v>1</v>
      </c>
      <c r="L4" s="201">
        <v>1</v>
      </c>
      <c r="M4" s="201">
        <v>1</v>
      </c>
      <c r="N4" s="189">
        <v>1.2</v>
      </c>
      <c r="O4" s="201">
        <v>1</v>
      </c>
      <c r="P4" s="189">
        <v>1.2</v>
      </c>
      <c r="Q4" s="201">
        <v>1</v>
      </c>
      <c r="R4" s="189">
        <v>1.05</v>
      </c>
      <c r="S4" s="189">
        <v>1.1</v>
      </c>
      <c r="T4" s="189">
        <v>1.2</v>
      </c>
      <c r="U4" s="189">
        <v>0.95</v>
      </c>
      <c r="V4" s="201">
        <v>1</v>
      </c>
      <c r="W4" s="189">
        <v>0.15</v>
      </c>
      <c r="X4" s="201">
        <v>1</v>
      </c>
      <c r="Y4" s="189">
        <v>0.05</v>
      </c>
      <c r="Z4" s="201">
        <v>1</v>
      </c>
    </row>
    <row r="5" ht="17.25" customHeight="1" spans="2:32">
      <c r="B5" s="23">
        <v>2</v>
      </c>
      <c r="C5" s="189" t="s">
        <v>174</v>
      </c>
      <c r="D5" s="200">
        <v>3.2</v>
      </c>
      <c r="E5" s="201">
        <v>1</v>
      </c>
      <c r="F5" s="201">
        <v>1</v>
      </c>
      <c r="G5" s="189">
        <v>0.95</v>
      </c>
      <c r="H5" s="189">
        <v>0.9</v>
      </c>
      <c r="I5" s="189">
        <v>0.9</v>
      </c>
      <c r="J5" s="201">
        <v>1</v>
      </c>
      <c r="K5" s="201">
        <v>1</v>
      </c>
      <c r="L5" s="201">
        <v>1</v>
      </c>
      <c r="M5" s="201">
        <v>1</v>
      </c>
      <c r="N5" s="201">
        <v>1</v>
      </c>
      <c r="O5" s="201">
        <v>1</v>
      </c>
      <c r="P5" s="201">
        <v>1</v>
      </c>
      <c r="Q5" s="201">
        <v>1</v>
      </c>
      <c r="R5" s="201">
        <v>1</v>
      </c>
      <c r="S5" s="201">
        <v>1</v>
      </c>
      <c r="T5" s="201">
        <v>1</v>
      </c>
      <c r="U5" s="189">
        <v>0.95</v>
      </c>
      <c r="V5" s="201">
        <v>1</v>
      </c>
      <c r="W5" s="201">
        <v>1</v>
      </c>
      <c r="X5" s="201">
        <v>1</v>
      </c>
      <c r="Y5" s="189">
        <v>0.05</v>
      </c>
      <c r="Z5" s="201">
        <v>1</v>
      </c>
    </row>
    <row r="6" ht="17.25" customHeight="1" spans="2:32">
      <c r="B6" s="23">
        <v>3</v>
      </c>
      <c r="C6" s="189" t="s">
        <v>175</v>
      </c>
      <c r="D6" s="200">
        <v>0.64</v>
      </c>
      <c r="E6" s="201">
        <v>1</v>
      </c>
      <c r="F6" s="201">
        <v>1</v>
      </c>
      <c r="G6" s="201">
        <v>1</v>
      </c>
      <c r="H6" s="201">
        <v>1</v>
      </c>
      <c r="I6" s="201">
        <v>1</v>
      </c>
      <c r="J6" s="201">
        <v>1</v>
      </c>
      <c r="K6" s="201">
        <v>1</v>
      </c>
      <c r="L6" s="201">
        <v>1</v>
      </c>
      <c r="M6" s="201">
        <v>1</v>
      </c>
      <c r="N6" s="201">
        <v>1</v>
      </c>
      <c r="O6" s="201">
        <v>1</v>
      </c>
      <c r="P6" s="201">
        <v>1</v>
      </c>
      <c r="Q6" s="201">
        <v>1</v>
      </c>
      <c r="R6" s="201">
        <v>1</v>
      </c>
      <c r="S6" s="201">
        <v>1</v>
      </c>
      <c r="T6" s="201">
        <v>1</v>
      </c>
      <c r="U6" s="189">
        <v>0.95</v>
      </c>
      <c r="V6" s="201">
        <v>1</v>
      </c>
      <c r="W6" s="189">
        <v>0.7</v>
      </c>
      <c r="X6" s="201">
        <v>1</v>
      </c>
      <c r="Y6" s="189">
        <v>0.05</v>
      </c>
      <c r="Z6" s="201">
        <v>1</v>
      </c>
    </row>
    <row r="7" ht="17.25" customHeight="1" spans="2:32">
      <c r="B7" s="23">
        <v>4</v>
      </c>
      <c r="C7" s="189" t="s">
        <v>176</v>
      </c>
      <c r="D7" s="200">
        <v>3.2</v>
      </c>
      <c r="E7" s="201">
        <v>1</v>
      </c>
      <c r="F7" s="201">
        <v>1</v>
      </c>
      <c r="G7" s="189">
        <v>0.95</v>
      </c>
      <c r="H7" s="189">
        <v>0.9</v>
      </c>
      <c r="I7" s="189">
        <v>0.9</v>
      </c>
      <c r="J7" s="189">
        <v>1.1</v>
      </c>
      <c r="K7" s="189">
        <v>1.2</v>
      </c>
      <c r="L7" s="201">
        <v>1</v>
      </c>
      <c r="M7" s="201">
        <v>1</v>
      </c>
      <c r="N7" s="201">
        <v>1</v>
      </c>
      <c r="O7" s="201">
        <v>1</v>
      </c>
      <c r="P7" s="201">
        <v>1</v>
      </c>
      <c r="Q7" s="201">
        <v>1</v>
      </c>
      <c r="R7" s="201">
        <v>1</v>
      </c>
      <c r="S7" s="201">
        <v>1</v>
      </c>
      <c r="T7" s="201">
        <v>1</v>
      </c>
      <c r="U7" s="189">
        <v>0.95</v>
      </c>
      <c r="V7" s="201">
        <v>1</v>
      </c>
      <c r="W7" s="189">
        <v>0.7</v>
      </c>
      <c r="X7" s="201">
        <v>1</v>
      </c>
      <c r="Y7" s="189">
        <v>0.05</v>
      </c>
      <c r="Z7" s="201">
        <v>1</v>
      </c>
    </row>
    <row r="8" ht="17.25" customHeight="1" spans="2:32">
      <c r="B8" s="23">
        <v>5</v>
      </c>
      <c r="C8" s="189" t="s">
        <v>177</v>
      </c>
      <c r="D8" s="200">
        <v>2.56</v>
      </c>
      <c r="E8" s="201">
        <v>1</v>
      </c>
      <c r="F8" s="201">
        <v>1</v>
      </c>
      <c r="G8" s="201">
        <v>1</v>
      </c>
      <c r="H8" s="201">
        <v>1</v>
      </c>
      <c r="I8" s="201">
        <v>1</v>
      </c>
      <c r="J8" s="201">
        <v>1</v>
      </c>
      <c r="K8" s="201">
        <v>1</v>
      </c>
      <c r="L8" s="201">
        <v>1</v>
      </c>
      <c r="M8" s="201">
        <v>1</v>
      </c>
      <c r="N8" s="201">
        <v>1</v>
      </c>
      <c r="O8" s="201">
        <v>1</v>
      </c>
      <c r="P8" s="201">
        <v>1</v>
      </c>
      <c r="Q8" s="201">
        <v>1</v>
      </c>
      <c r="R8" s="201">
        <v>1</v>
      </c>
      <c r="S8" s="201">
        <v>1</v>
      </c>
      <c r="T8" s="201">
        <v>1</v>
      </c>
      <c r="U8" s="189">
        <v>0.95</v>
      </c>
      <c r="V8" s="201">
        <v>1</v>
      </c>
      <c r="W8" s="201">
        <v>1</v>
      </c>
      <c r="X8" s="201">
        <v>1</v>
      </c>
      <c r="Y8" s="189">
        <v>0.05</v>
      </c>
      <c r="Z8" s="201">
        <v>1</v>
      </c>
    </row>
    <row r="9" ht="17.25" customHeight="1" spans="2:32">
      <c r="B9" s="202"/>
      <c r="C9" s="203" t="s">
        <v>178</v>
      </c>
      <c r="D9" s="204">
        <v>32</v>
      </c>
      <c r="E9" s="203">
        <v>33.12</v>
      </c>
      <c r="F9" s="205">
        <v>32</v>
      </c>
      <c r="G9" s="203">
        <v>30.56</v>
      </c>
      <c r="H9" s="203">
        <v>29.12</v>
      </c>
      <c r="I9" s="203">
        <v>29.12</v>
      </c>
      <c r="J9" s="203">
        <v>32.32</v>
      </c>
      <c r="K9" s="203">
        <v>32.64</v>
      </c>
      <c r="L9" s="205">
        <v>32</v>
      </c>
      <c r="M9" s="205">
        <v>32</v>
      </c>
      <c r="N9" s="203">
        <v>36.48</v>
      </c>
      <c r="O9" s="205">
        <v>32</v>
      </c>
      <c r="P9" s="203">
        <v>36.48</v>
      </c>
      <c r="Q9" s="205">
        <v>32</v>
      </c>
      <c r="R9" s="203">
        <v>33.12</v>
      </c>
      <c r="S9" s="203">
        <v>34.24</v>
      </c>
      <c r="T9" s="203">
        <v>36.48</v>
      </c>
      <c r="U9" s="203">
        <v>30.4</v>
      </c>
      <c r="V9" s="205">
        <v>32</v>
      </c>
      <c r="W9" s="189">
        <v>11.808</v>
      </c>
      <c r="X9" s="201">
        <v>32</v>
      </c>
      <c r="Y9" s="203">
        <v>1.6</v>
      </c>
      <c r="Z9" s="205">
        <v>32</v>
      </c>
    </row>
    <row r="10" ht="17.25" customHeight="1" spans="2:32">
      <c r="C10" s="206" t="e">
        <f>IF(SUM(E10:V10)+SUM(Y10:Z10)=7,"正确","错误")</f>
        <v>#REF!</v>
      </c>
      <c r="D10" s="207"/>
      <c r="E10" s="208">
        <f>IF(基本参数!$B$7&lt;=10,1,0)</f>
        <v>1</v>
      </c>
      <c r="F10" s="209">
        <f>IF(AND(基本参数!$B$7&gt;10,基本参数!$B$7&lt;=50),1,0)</f>
        <v>0</v>
      </c>
      <c r="G10" s="209">
        <f>IF(AND(基本参数!$B$7&gt;50,基本参数!$B$7&lt;=100),1,0)</f>
        <v>0</v>
      </c>
      <c r="H10" s="209">
        <f>IF(AND(基本参数!$B$7&gt;100,基本参数!$B$7&lt;=300),1,0)</f>
        <v>0</v>
      </c>
      <c r="I10" s="207">
        <f>IF(基本参数!$B$6&gt;300,1,0)</f>
        <v>0</v>
      </c>
      <c r="J10" s="208">
        <f>IF(基本信息!$D$15=J3,1,0)</f>
        <v>0</v>
      </c>
      <c r="K10" s="207">
        <f>IF(基本信息!$D$15=K3,1,0)</f>
        <v>0</v>
      </c>
      <c r="L10" s="208">
        <f>IF(M10+N10=0,1,0)</f>
        <v>1</v>
      </c>
      <c r="M10" s="209">
        <f>IF(OR(收入和税金!C5="多晶单玻",收入和税金!C5="多晶双玻"),1,0)</f>
        <v>0</v>
      </c>
      <c r="N10" s="207"/>
      <c r="O10" s="208" t="e">
        <f>P45+Q45</f>
        <v>#REF!</v>
      </c>
      <c r="P10" s="209" t="e">
        <f>R45</f>
        <v>#REF!</v>
      </c>
      <c r="Q10" s="206" t="e">
        <f>IF(基本信息!#REF!=Q3,1,0)</f>
        <v>#REF!</v>
      </c>
      <c r="R10" s="210" t="e">
        <f>IF(基本信息!#REF!=R3,1,0)</f>
        <v>#REF!</v>
      </c>
      <c r="S10" s="209" t="e">
        <f>IF(基本信息!#REF!=S3,1,0)</f>
        <v>#REF!</v>
      </c>
      <c r="T10" s="211" t="e">
        <f>IF(基本信息!#REF!=T3,1,0)</f>
        <v>#REF!</v>
      </c>
      <c r="U10" s="209"/>
      <c r="V10" s="207">
        <v>1</v>
      </c>
      <c r="Y10" s="208"/>
      <c r="Z10" s="208">
        <v>1</v>
      </c>
    </row>
    <row r="11" s="180" customFormat="1" ht="28" customHeight="1" spans="2:32">
      <c r="B11" s="212"/>
      <c r="C11" s="213" t="s">
        <v>179</v>
      </c>
      <c r="D11" s="214"/>
      <c r="E11" s="215"/>
      <c r="F11" s="216"/>
      <c r="G11" s="216"/>
      <c r="H11" s="215"/>
      <c r="I11" s="215"/>
      <c r="J11" s="215"/>
      <c r="K11" s="215"/>
      <c r="L11" s="215"/>
      <c r="M11" s="215"/>
      <c r="N11" s="215"/>
      <c r="O11" s="215"/>
      <c r="P11" s="215"/>
      <c r="Q11" s="217"/>
      <c r="R11" s="217"/>
      <c r="S11" s="212"/>
      <c r="T11" s="217"/>
      <c r="U11" s="212"/>
      <c r="V11" s="212"/>
      <c r="W11" s="212"/>
      <c r="X11" s="212"/>
      <c r="Y11" s="212"/>
      <c r="Z11" s="212"/>
      <c r="AA11" s="212"/>
      <c r="AB11" s="217"/>
      <c r="AC11" s="217"/>
      <c r="AD11" s="212"/>
      <c r="AE11" s="217"/>
      <c r="AF11" s="217"/>
    </row>
    <row r="12" s="180" customFormat="1" ht="17.25" customHeight="1" spans="2:32">
      <c r="B12" s="212"/>
      <c r="C12" s="218" t="s">
        <v>180</v>
      </c>
      <c r="D12" s="199" t="s">
        <v>181</v>
      </c>
      <c r="E12" s="215"/>
      <c r="F12" s="219"/>
      <c r="G12" s="219"/>
      <c r="H12" s="215"/>
      <c r="I12" s="215"/>
      <c r="J12" s="215"/>
      <c r="K12" s="215"/>
      <c r="L12" s="215"/>
      <c r="M12" s="215"/>
      <c r="N12" s="215"/>
      <c r="O12" s="215"/>
      <c r="P12" s="215"/>
      <c r="Q12" s="217"/>
      <c r="R12" s="217"/>
      <c r="S12" s="212"/>
      <c r="T12" s="217"/>
      <c r="U12" s="212"/>
      <c r="V12" s="212"/>
      <c r="W12" s="212"/>
      <c r="X12" s="212"/>
      <c r="Y12" s="212"/>
      <c r="Z12" s="212"/>
      <c r="AA12" s="212"/>
      <c r="AB12" s="217"/>
      <c r="AC12" s="217"/>
      <c r="AD12" s="212"/>
      <c r="AE12" s="217"/>
      <c r="AF12" s="217"/>
    </row>
    <row r="13" ht="17.25" customHeight="1" spans="2:32">
      <c r="C13" s="220">
        <f>D4*W4*SUMPRODUCT(Y4:Z4,$Y$10:$Z$10)</f>
        <v>3.36</v>
      </c>
      <c r="D13" s="23" t="e">
        <f>D4*X4*SUMPRODUCT(Y4:Z4,$Y$10:$Z$10)*SUMPRODUCT(E4:I4,$E$10:$I$10)*SUMPRODUCT(J4:K4,$J$10:$K$10)*SUMPRODUCT(L4:N4,$L$10:$N$10)*SUMPRODUCT(O4:P4,$O$10:$P$10)*SUMPRODUCT(Q4:T4,$Q$10:$T$10)*SUMPRODUCT(U4:V4,$U$10:$V$10)</f>
        <v>#REF!</v>
      </c>
      <c r="F13" s="221"/>
      <c r="G13" s="221"/>
    </row>
    <row r="14" ht="17.25" customHeight="1" spans="2:32">
      <c r="C14" s="220">
        <f>SUMPRODUCT(F70:R70,F71:R71)</f>
        <v>0</v>
      </c>
      <c r="D14" s="23" t="e">
        <f>D5*X5*SUMPRODUCT(Y5:Z5,$Y$10:$Z$10)*SUMPRODUCT(E5:I5,$E$10:$I$10)*SUMPRODUCT(J5:K5,$J$10:$K$10)*SUMPRODUCT(L5:N5,$L$10:$N$10)*SUMPRODUCT(O5:P5,$O$10:$P$10)*SUMPRODUCT(Q5:T5,$Q$10:$T$10)*SUMPRODUCT(U5:V5,$U$10:$V$10)</f>
        <v>#REF!</v>
      </c>
      <c r="F14" s="221"/>
      <c r="G14" s="68" t="s">
        <v>182</v>
      </c>
      <c r="H14" s="70">
        <v>10</v>
      </c>
    </row>
    <row r="15" ht="17.25" customHeight="1" spans="2:32">
      <c r="C15" s="220">
        <f>SUMPRODUCT(F71:R71,F72:R72)</f>
        <v>0</v>
      </c>
      <c r="D15" s="23" t="e">
        <f>D6*X6*SUMPRODUCT(Y6:Z6,$Y$10:$Z$10)*SUMPRODUCT(E6:I6,$E$10:$I$10)*SUMPRODUCT(J6:K6,$J$10:$K$10)*SUMPRODUCT(L6:N6,$L$10:$N$10)*SUMPRODUCT(O6:P6,$O$10:$P$10)*SUMPRODUCT(Q6:T6,$Q$10:$T$10)*SUMPRODUCT(U6:V6,$U$10:$V$10)</f>
        <v>#REF!</v>
      </c>
      <c r="F15" s="221"/>
      <c r="G15" s="221"/>
    </row>
    <row r="16" ht="17.25" customHeight="1" spans="2:32">
      <c r="C16" s="220">
        <f>SUMPRODUCT(F72:R72,F73:R73)</f>
        <v>0</v>
      </c>
      <c r="D16" s="23" t="e">
        <f>D7*X7*SUMPRODUCT(Y7:Z7,$Y$10:$Z$10)*SUMPRODUCT(E7:I7,$E$10:$I$10)*SUMPRODUCT(J7:K7,$J$10:$K$10)*SUMPRODUCT(L7:N7,$L$10:$N$10)*SUMPRODUCT(O7:P7,$O$10:$P$10)*SUMPRODUCT(Q7:T7,$Q$10:$T$10)*SUMPRODUCT(U7:V7,$U$10:$V$10)</f>
        <v>#REF!</v>
      </c>
      <c r="F16" s="221"/>
      <c r="G16" s="221"/>
    </row>
    <row r="17" ht="17.25" customHeight="1" spans="2:32">
      <c r="C17" s="220">
        <f>SUMPRODUCT(F73:R73,F74:R74)</f>
        <v>0</v>
      </c>
      <c r="D17" s="23" t="e">
        <f>D8*X8*SUMPRODUCT(Y8:Z8,$Y$10:$Z$10)*SUMPRODUCT(E8:I8,$E$10:$I$10)*SUMPRODUCT(J8:K8,$J$10:$K$10)*SUMPRODUCT(L8:N8,$L$10:$N$10)*SUMPRODUCT(O8:P8,$O$10:$P$10)*SUMPRODUCT(Q8:T8,$Q$10:$T$10)*SUMPRODUCT(U8:V8,$U$10:$V$10)</f>
        <v>#REF!</v>
      </c>
      <c r="F17" s="221"/>
      <c r="G17" s="221"/>
    </row>
    <row r="18" ht="17.25" customHeight="1" spans="2:32">
      <c r="C18" s="222">
        <f>SUM(C13:C17)</f>
        <v>3.36</v>
      </c>
      <c r="D18" s="223" t="e">
        <f>SUM(D13:D17)</f>
        <v>#REF!</v>
      </c>
      <c r="F18" s="224"/>
      <c r="G18" s="224"/>
    </row>
    <row r="19" ht="17.25" customHeight="1"/>
    <row r="20" ht="17.25" customHeight="1"/>
    <row r="21" ht="17.25" customHeight="1" spans="2:32">
      <c r="B21" s="75" t="s">
        <v>183</v>
      </c>
    </row>
    <row r="22" s="180" customFormat="1" ht="33.75" customHeight="1" spans="2:32">
      <c r="B22" s="225" t="s">
        <v>143</v>
      </c>
      <c r="C22" s="226" t="s">
        <v>144</v>
      </c>
      <c r="D22" s="227" t="s">
        <v>145</v>
      </c>
      <c r="E22" s="227"/>
      <c r="F22" s="227"/>
      <c r="G22" s="227"/>
      <c r="H22" s="227"/>
      <c r="I22" s="227" t="s">
        <v>184</v>
      </c>
      <c r="J22" s="227"/>
      <c r="K22" s="227"/>
      <c r="L22" s="228" t="s">
        <v>148</v>
      </c>
      <c r="M22" s="229"/>
      <c r="N22" s="227" t="s">
        <v>149</v>
      </c>
      <c r="O22" s="227"/>
      <c r="P22" s="227"/>
      <c r="Q22" s="230"/>
      <c r="R22" s="230" t="s">
        <v>150</v>
      </c>
      <c r="S22" s="227"/>
      <c r="T22" s="230" t="s">
        <v>151</v>
      </c>
      <c r="U22" s="227"/>
      <c r="V22" s="227" t="s">
        <v>185</v>
      </c>
      <c r="W22" s="227"/>
      <c r="X22" s="212"/>
      <c r="Y22" s="212"/>
      <c r="Z22" s="212"/>
      <c r="AA22" s="212"/>
      <c r="AB22" s="217"/>
      <c r="AC22" s="217"/>
      <c r="AD22" s="212"/>
      <c r="AE22" s="217"/>
      <c r="AF22" s="217"/>
    </row>
    <row r="23" s="180" customFormat="1" ht="17.25" customHeight="1" spans="2:32">
      <c r="B23" s="227"/>
      <c r="C23" s="231"/>
      <c r="D23" s="227" t="s">
        <v>153</v>
      </c>
      <c r="E23" s="227" t="s">
        <v>154</v>
      </c>
      <c r="F23" s="227" t="s">
        <v>155</v>
      </c>
      <c r="G23" s="227" t="s">
        <v>156</v>
      </c>
      <c r="H23" s="227" t="s">
        <v>157</v>
      </c>
      <c r="I23" s="227" t="s">
        <v>160</v>
      </c>
      <c r="J23" s="227" t="s">
        <v>161</v>
      </c>
      <c r="K23" s="227" t="s">
        <v>162</v>
      </c>
      <c r="L23" s="227" t="s">
        <v>163</v>
      </c>
      <c r="M23" s="227" t="s">
        <v>186</v>
      </c>
      <c r="N23" s="232" t="s">
        <v>165</v>
      </c>
      <c r="O23" s="232" t="s">
        <v>166</v>
      </c>
      <c r="P23" s="232" t="s">
        <v>167</v>
      </c>
      <c r="Q23" s="233" t="s">
        <v>168</v>
      </c>
      <c r="R23" s="230" t="s">
        <v>169</v>
      </c>
      <c r="S23" s="227" t="s">
        <v>170</v>
      </c>
      <c r="T23" s="230" t="s">
        <v>171</v>
      </c>
      <c r="U23" s="227" t="s">
        <v>172</v>
      </c>
      <c r="V23" s="227" t="s">
        <v>18</v>
      </c>
      <c r="W23" s="227" t="s">
        <v>30</v>
      </c>
      <c r="X23" s="212"/>
      <c r="Y23" s="212"/>
      <c r="Z23" s="212"/>
      <c r="AA23" s="212"/>
      <c r="AB23" s="217"/>
      <c r="AC23" s="217"/>
      <c r="AD23" s="212"/>
      <c r="AE23" s="217"/>
      <c r="AF23" s="217"/>
    </row>
    <row r="24" ht="17.25" customHeight="1" spans="2:32">
      <c r="B24" s="234" t="s">
        <v>187</v>
      </c>
      <c r="C24" s="235">
        <v>8</v>
      </c>
      <c r="D24" s="236">
        <v>1.05</v>
      </c>
      <c r="E24" s="234">
        <v>1</v>
      </c>
      <c r="F24" s="236">
        <v>0.85</v>
      </c>
      <c r="G24" s="236">
        <v>0.7</v>
      </c>
      <c r="H24" s="236">
        <v>0.6</v>
      </c>
      <c r="I24" s="234">
        <v>1</v>
      </c>
      <c r="J24" s="234">
        <v>1</v>
      </c>
      <c r="K24" s="236">
        <v>1.2</v>
      </c>
      <c r="L24" s="234">
        <v>1</v>
      </c>
      <c r="M24" s="236">
        <v>1.2</v>
      </c>
      <c r="N24" s="234">
        <v>1</v>
      </c>
      <c r="O24" s="236">
        <v>1.05</v>
      </c>
      <c r="P24" s="236">
        <v>1.1</v>
      </c>
      <c r="Q24" s="236">
        <v>1.2</v>
      </c>
      <c r="R24" s="236">
        <v>0.95</v>
      </c>
      <c r="S24" s="234">
        <v>1</v>
      </c>
      <c r="T24" s="236">
        <v>0.5</v>
      </c>
      <c r="U24" s="234">
        <v>1</v>
      </c>
      <c r="V24" s="237">
        <v>0.05</v>
      </c>
      <c r="W24" s="238">
        <v>1</v>
      </c>
    </row>
    <row r="25" ht="17.25" customHeight="1" spans="2:32">
      <c r="D25" s="239">
        <f>E10</f>
        <v>1</v>
      </c>
      <c r="E25" s="239">
        <f>F10</f>
        <v>0</v>
      </c>
      <c r="F25" s="239">
        <f>G10</f>
        <v>0</v>
      </c>
      <c r="G25" s="239">
        <f>H10</f>
        <v>0</v>
      </c>
      <c r="H25" s="239">
        <f>I10</f>
        <v>0</v>
      </c>
      <c r="I25" s="239">
        <f t="shared" ref="I25:S25" si="0">L10</f>
        <v>1</v>
      </c>
      <c r="J25" s="239">
        <f t="shared" si="0"/>
        <v>0</v>
      </c>
      <c r="K25" s="239">
        <f t="shared" si="0"/>
        <v>0</v>
      </c>
      <c r="L25" s="239" t="e">
        <f t="shared" si="0"/>
        <v>#REF!</v>
      </c>
      <c r="M25" s="239" t="e">
        <f t="shared" si="0"/>
        <v>#REF!</v>
      </c>
      <c r="N25" s="239" t="e">
        <f t="shared" si="0"/>
        <v>#REF!</v>
      </c>
      <c r="O25" s="239" t="e">
        <f t="shared" si="0"/>
        <v>#REF!</v>
      </c>
      <c r="P25" s="239" t="e">
        <f t="shared" si="0"/>
        <v>#REF!</v>
      </c>
      <c r="Q25" s="240" t="e">
        <f t="shared" si="0"/>
        <v>#REF!</v>
      </c>
      <c r="R25" s="239">
        <f t="shared" si="0"/>
        <v>0</v>
      </c>
      <c r="S25" s="239">
        <f t="shared" si="0"/>
        <v>1</v>
      </c>
      <c r="T25" s="240"/>
      <c r="U25" s="239"/>
      <c r="V25" s="239">
        <f>Y10</f>
        <v>0</v>
      </c>
      <c r="W25" s="239">
        <f>Z10</f>
        <v>1</v>
      </c>
    </row>
    <row r="26" s="180" customFormat="1" ht="29.5" customHeight="1" spans="2:32">
      <c r="B26" s="212"/>
      <c r="C26" s="197" t="s">
        <v>188</v>
      </c>
      <c r="D26" s="196"/>
      <c r="E26" s="215"/>
      <c r="F26" s="216"/>
      <c r="G26" s="216"/>
      <c r="H26" s="215"/>
      <c r="I26" s="215"/>
      <c r="J26" s="215"/>
      <c r="K26" s="215"/>
      <c r="L26" s="215"/>
      <c r="M26" s="215"/>
      <c r="N26" s="215"/>
      <c r="O26" s="215"/>
      <c r="P26" s="215"/>
      <c r="Q26" s="217"/>
      <c r="R26" s="217"/>
      <c r="S26" s="212"/>
      <c r="T26" s="217"/>
      <c r="U26" s="212"/>
      <c r="V26" s="212"/>
      <c r="W26" s="212"/>
      <c r="X26" s="212"/>
      <c r="Y26" s="212"/>
      <c r="Z26" s="212"/>
      <c r="AA26" s="212"/>
      <c r="AB26" s="217"/>
      <c r="AC26" s="217"/>
      <c r="AD26" s="212"/>
      <c r="AE26" s="217"/>
      <c r="AF26" s="217"/>
    </row>
    <row r="27" s="180" customFormat="1" ht="17.25" customHeight="1" spans="2:32">
      <c r="B27" s="212"/>
      <c r="C27" s="218" t="s">
        <v>180</v>
      </c>
      <c r="D27" s="199" t="s">
        <v>181</v>
      </c>
      <c r="E27" s="215"/>
      <c r="F27" s="219"/>
      <c r="G27" s="219"/>
      <c r="H27" s="215"/>
      <c r="I27" s="215"/>
      <c r="J27" s="215"/>
      <c r="K27" s="215"/>
      <c r="L27" s="215"/>
      <c r="M27" s="215"/>
      <c r="N27" s="215"/>
      <c r="O27" s="215"/>
      <c r="P27" s="215"/>
      <c r="Q27" s="217"/>
      <c r="R27" s="217"/>
      <c r="S27" s="212"/>
      <c r="T27" s="217"/>
      <c r="U27" s="212"/>
      <c r="V27" s="212"/>
      <c r="W27" s="212"/>
      <c r="X27" s="212"/>
      <c r="Y27" s="212"/>
      <c r="Z27" s="212"/>
      <c r="AA27" s="212"/>
      <c r="AB27" s="217"/>
      <c r="AC27" s="217"/>
      <c r="AD27" s="212"/>
      <c r="AE27" s="217"/>
      <c r="AF27" s="217"/>
    </row>
    <row r="28" ht="17.25" customHeight="1" spans="2:32">
      <c r="C28" s="223">
        <f>C24*T24*SUMPRODUCT(V24:W24,V25:W25)</f>
        <v>4</v>
      </c>
      <c r="D28" s="223" t="e">
        <f>C24*U24*SUMPRODUCT(D24:H24,D25:H25)*SUMPRODUCT(I24:K24,I25:K25)*SUMPRODUCT(L24:M24,L25:M25)*SUMPRODUCT(N24:Q24,N25:Q25)*SUMPRODUCT(R24:S24,R25:S25)*SUMPRODUCT(V24:W24,V25:W25)</f>
        <v>#REF!</v>
      </c>
    </row>
    <row r="29" ht="17.25" customHeight="1"/>
    <row r="30" ht="17.25" customHeight="1"/>
    <row r="31" ht="17.25" customHeight="1" spans="2:32">
      <c r="B31" s="75" t="s">
        <v>189</v>
      </c>
    </row>
    <row r="32" s="180" customFormat="1" ht="17.25" customHeight="1" spans="2:32">
      <c r="B32" s="241" t="s">
        <v>143</v>
      </c>
      <c r="C32" s="242" t="s">
        <v>190</v>
      </c>
      <c r="D32" s="227" t="s">
        <v>145</v>
      </c>
      <c r="E32" s="227"/>
      <c r="F32" s="227"/>
      <c r="G32" s="227"/>
      <c r="H32" s="227"/>
      <c r="I32" s="228" t="s">
        <v>191</v>
      </c>
      <c r="J32" s="229"/>
      <c r="K32" s="215"/>
      <c r="L32" s="215"/>
      <c r="M32" s="215"/>
      <c r="N32" s="215"/>
      <c r="O32" s="215"/>
      <c r="P32" s="215"/>
      <c r="Q32" s="217"/>
      <c r="R32" s="217"/>
      <c r="S32" s="212"/>
      <c r="T32" s="217"/>
      <c r="U32" s="212"/>
      <c r="V32" s="212"/>
      <c r="W32" s="212"/>
      <c r="X32" s="212"/>
      <c r="Y32" s="212"/>
      <c r="Z32" s="212"/>
      <c r="AA32" s="212"/>
      <c r="AB32" s="217"/>
      <c r="AC32" s="217"/>
      <c r="AD32" s="212"/>
      <c r="AE32" s="217"/>
      <c r="AF32" s="217"/>
    </row>
    <row r="33" s="180" customFormat="1" ht="17.25" customHeight="1" spans="2:32">
      <c r="B33" s="243"/>
      <c r="C33" s="244"/>
      <c r="D33" s="227" t="s">
        <v>153</v>
      </c>
      <c r="E33" s="227" t="s">
        <v>154</v>
      </c>
      <c r="F33" s="227" t="s">
        <v>155</v>
      </c>
      <c r="G33" s="227" t="s">
        <v>156</v>
      </c>
      <c r="H33" s="227" t="s">
        <v>157</v>
      </c>
      <c r="I33" s="232" t="s">
        <v>18</v>
      </c>
      <c r="J33" s="232" t="s">
        <v>30</v>
      </c>
      <c r="K33" s="215"/>
      <c r="L33" s="215"/>
      <c r="M33" s="215"/>
      <c r="N33" s="215"/>
      <c r="O33" s="215"/>
      <c r="P33" s="215"/>
      <c r="Q33" s="217"/>
      <c r="R33" s="217"/>
      <c r="S33" s="212"/>
      <c r="T33" s="217"/>
      <c r="U33" s="212"/>
      <c r="V33" s="212"/>
      <c r="W33" s="212"/>
      <c r="X33" s="212"/>
      <c r="Y33" s="212"/>
      <c r="Z33" s="212"/>
      <c r="AA33" s="212"/>
      <c r="AB33" s="217"/>
      <c r="AC33" s="217"/>
      <c r="AD33" s="212"/>
      <c r="AE33" s="217"/>
      <c r="AF33" s="217"/>
    </row>
    <row r="34" ht="17.25" customHeight="1" spans="2:32">
      <c r="B34" s="245" t="s">
        <v>187</v>
      </c>
      <c r="C34" s="246">
        <v>40</v>
      </c>
      <c r="D34" s="247">
        <v>1.5</v>
      </c>
      <c r="E34" s="248">
        <v>1</v>
      </c>
      <c r="F34" s="247">
        <v>0.8</v>
      </c>
      <c r="G34" s="247">
        <v>0.6</v>
      </c>
      <c r="H34" s="247">
        <v>0.4</v>
      </c>
      <c r="I34" s="249">
        <v>0.8</v>
      </c>
      <c r="J34" s="250">
        <v>1</v>
      </c>
    </row>
    <row r="35" ht="17.25" customHeight="1" spans="2:32">
      <c r="D35" s="251">
        <f>D25</f>
        <v>1</v>
      </c>
      <c r="E35" s="251">
        <f>E25</f>
        <v>0</v>
      </c>
      <c r="F35" s="251">
        <f>F25</f>
        <v>0</v>
      </c>
      <c r="G35" s="251">
        <f>G25</f>
        <v>0</v>
      </c>
      <c r="H35" s="251">
        <f>H25</f>
        <v>0</v>
      </c>
      <c r="I35" s="251">
        <f>V25</f>
        <v>0</v>
      </c>
      <c r="J35" s="251">
        <f>W25</f>
        <v>1</v>
      </c>
    </row>
    <row r="36" s="180" customFormat="1" ht="31.5" customHeight="1" spans="2:32">
      <c r="B36" s="212"/>
      <c r="C36" s="252" t="s">
        <v>192</v>
      </c>
      <c r="D36" s="216"/>
      <c r="E36" s="215"/>
      <c r="F36" s="216"/>
      <c r="G36" s="216"/>
      <c r="H36" s="215"/>
      <c r="I36" s="215"/>
      <c r="J36" s="215"/>
      <c r="K36" s="215"/>
      <c r="L36" s="215"/>
      <c r="M36" s="215"/>
      <c r="N36" s="215"/>
      <c r="O36" s="215"/>
      <c r="P36" s="215"/>
      <c r="Q36" s="217"/>
      <c r="R36" s="217"/>
      <c r="S36" s="212"/>
      <c r="T36" s="217"/>
      <c r="U36" s="212"/>
      <c r="V36" s="212"/>
      <c r="W36" s="212"/>
      <c r="X36" s="212"/>
      <c r="Y36" s="212"/>
      <c r="Z36" s="212"/>
      <c r="AA36" s="212"/>
      <c r="AB36" s="217"/>
      <c r="AC36" s="217"/>
      <c r="AD36" s="212"/>
      <c r="AE36" s="217"/>
      <c r="AF36" s="217"/>
    </row>
    <row r="37" ht="17.25" customHeight="1" spans="2:32">
      <c r="C37" s="223">
        <f>C34*SUMPRODUCT(D34:H34,D35:H35)*SUMPRODUCT(I34:J34,I35:J35)</f>
        <v>60</v>
      </c>
    </row>
    <row r="38" ht="17.25" customHeight="1"/>
    <row r="39" ht="17.25" customHeight="1"/>
    <row r="40" ht="17.25" customHeight="1"/>
    <row r="41" ht="17.25" customHeight="1" spans="2:32">
      <c r="B41" s="75" t="s">
        <v>193</v>
      </c>
    </row>
    <row r="42" ht="22.5" customHeight="1" spans="2:32">
      <c r="B42" s="253" t="s">
        <v>143</v>
      </c>
      <c r="C42" s="254" t="s">
        <v>194</v>
      </c>
      <c r="D42" s="255" t="s">
        <v>145</v>
      </c>
      <c r="E42" s="256"/>
      <c r="F42" s="256"/>
      <c r="G42" s="256"/>
      <c r="H42" s="256"/>
      <c r="I42" s="256"/>
      <c r="J42" s="256"/>
      <c r="K42" s="257" t="s">
        <v>195</v>
      </c>
      <c r="L42" s="258"/>
      <c r="M42" s="259"/>
      <c r="N42" s="257" t="s">
        <v>196</v>
      </c>
      <c r="O42" s="259"/>
      <c r="P42" s="255" t="s">
        <v>148</v>
      </c>
      <c r="Q42" s="260"/>
      <c r="R42" s="261"/>
      <c r="S42" s="255" t="s">
        <v>149</v>
      </c>
      <c r="T42" s="261"/>
      <c r="U42" s="262" t="s">
        <v>197</v>
      </c>
      <c r="V42" s="263"/>
      <c r="W42" s="255" t="s">
        <v>198</v>
      </c>
      <c r="X42" s="256"/>
      <c r="Y42" s="256"/>
      <c r="Z42" s="256"/>
      <c r="AA42" s="264"/>
      <c r="AB42" s="265" t="s">
        <v>199</v>
      </c>
      <c r="AC42" s="265"/>
      <c r="AD42" s="258"/>
      <c r="AE42" s="265"/>
      <c r="AF42" s="266"/>
    </row>
    <row r="43" s="180" customFormat="1" ht="17.25" customHeight="1" spans="2:32">
      <c r="B43" s="267"/>
      <c r="C43" s="268"/>
      <c r="D43" s="250" t="s">
        <v>200</v>
      </c>
      <c r="E43" s="250" t="s">
        <v>201</v>
      </c>
      <c r="F43" s="250" t="s">
        <v>202</v>
      </c>
      <c r="G43" s="250" t="s">
        <v>203</v>
      </c>
      <c r="H43" s="250" t="s">
        <v>204</v>
      </c>
      <c r="I43" s="250" t="s">
        <v>205</v>
      </c>
      <c r="J43" s="250" t="s">
        <v>206</v>
      </c>
      <c r="K43" s="250" t="s">
        <v>207</v>
      </c>
      <c r="L43" s="250" t="s">
        <v>208</v>
      </c>
      <c r="M43" s="250" t="s">
        <v>63</v>
      </c>
      <c r="N43" s="250" t="s">
        <v>209</v>
      </c>
      <c r="O43" s="250" t="s">
        <v>210</v>
      </c>
      <c r="P43" s="238" t="s">
        <v>211</v>
      </c>
      <c r="Q43" s="269" t="s">
        <v>212</v>
      </c>
      <c r="R43" s="237" t="s">
        <v>213</v>
      </c>
      <c r="S43" s="267" t="s">
        <v>165</v>
      </c>
      <c r="T43" s="249" t="s">
        <v>214</v>
      </c>
      <c r="U43" s="238" t="s">
        <v>215</v>
      </c>
      <c r="V43" s="238" t="s">
        <v>216</v>
      </c>
      <c r="W43" s="267" t="s">
        <v>30</v>
      </c>
      <c r="X43" s="238" t="s">
        <v>217</v>
      </c>
      <c r="Y43" s="238" t="s">
        <v>218</v>
      </c>
      <c r="Z43" s="267" t="s">
        <v>219</v>
      </c>
      <c r="AA43" s="267" t="s">
        <v>220</v>
      </c>
      <c r="AB43" s="237" t="s">
        <v>221</v>
      </c>
      <c r="AC43" s="237" t="s">
        <v>222</v>
      </c>
      <c r="AD43" s="238" t="s">
        <v>223</v>
      </c>
      <c r="AE43" s="237" t="s">
        <v>224</v>
      </c>
      <c r="AF43" s="237" t="s">
        <v>225</v>
      </c>
    </row>
    <row r="44" ht="17.25" customHeight="1" spans="2:32">
      <c r="B44" s="270" t="s">
        <v>226</v>
      </c>
      <c r="C44" s="271">
        <v>100</v>
      </c>
      <c r="D44" s="272">
        <v>1</v>
      </c>
      <c r="E44" s="273">
        <v>0.95</v>
      </c>
      <c r="F44" s="273">
        <v>0.9</v>
      </c>
      <c r="G44" s="273">
        <v>0.85</v>
      </c>
      <c r="H44" s="273">
        <v>0.8</v>
      </c>
      <c r="I44" s="273">
        <v>0.75</v>
      </c>
      <c r="J44" s="273">
        <v>0.7</v>
      </c>
      <c r="K44" s="273">
        <v>1.1</v>
      </c>
      <c r="L44" s="272">
        <v>1</v>
      </c>
      <c r="M44" s="273">
        <v>0.9</v>
      </c>
      <c r="N44" s="272">
        <v>1</v>
      </c>
      <c r="O44" s="273">
        <v>1.05</v>
      </c>
      <c r="P44" s="250">
        <v>1</v>
      </c>
      <c r="Q44" s="249">
        <v>1.05</v>
      </c>
      <c r="R44" s="249">
        <v>1.1</v>
      </c>
      <c r="S44" s="250">
        <v>1</v>
      </c>
      <c r="T44" s="249">
        <v>1.1</v>
      </c>
      <c r="U44" s="273">
        <v>1.1</v>
      </c>
      <c r="V44" s="272">
        <v>1</v>
      </c>
      <c r="W44" s="274">
        <v>0.4</v>
      </c>
      <c r="X44" s="275">
        <v>0.6</v>
      </c>
      <c r="Y44" s="274">
        <v>0.75</v>
      </c>
      <c r="Z44" s="276">
        <v>1</v>
      </c>
      <c r="AA44" s="274">
        <v>1.1</v>
      </c>
      <c r="AB44" s="237">
        <v>0.8</v>
      </c>
      <c r="AC44" s="237">
        <v>0.9</v>
      </c>
      <c r="AD44" s="238">
        <v>1</v>
      </c>
      <c r="AE44" s="237">
        <v>1.1</v>
      </c>
      <c r="AF44" s="237">
        <v>1.2</v>
      </c>
    </row>
    <row r="45" ht="17.25" customHeight="1" spans="2:32">
      <c r="C45" s="206" t="e">
        <f>IF(SUM(D45:AA45)=7,"正确","错误")</f>
        <v>#DIV/0!</v>
      </c>
      <c r="D45" s="208">
        <f>IF(基本参数!$B$6&lt;=10,1,0)</f>
        <v>1</v>
      </c>
      <c r="E45" s="209">
        <f>IF(AND(基本参数!$B$6&gt;10,基本参数!$B$6&lt;=20),1,0)</f>
        <v>0</v>
      </c>
      <c r="F45" s="209">
        <f>IF(AND(基本参数!$B$6&gt;20,基本参数!$B$6&lt;=40),1,0)</f>
        <v>0</v>
      </c>
      <c r="G45" s="209">
        <f>IF(AND(基本参数!$B$6&gt;40,基本参数!$B$6&lt;=60),1,0)</f>
        <v>0</v>
      </c>
      <c r="H45" s="209">
        <f>IF(AND(基本参数!$B$6&gt;60,基本参数!$B$6&lt;=80),1,0)</f>
        <v>0</v>
      </c>
      <c r="I45" s="209">
        <f>IF(AND(基本参数!$B$6&gt;80,基本参数!$B$6&lt;=100),1,0)</f>
        <v>0</v>
      </c>
      <c r="J45" s="209">
        <f>IF(基本参数!$B$6&gt;100,1,0)</f>
        <v>0</v>
      </c>
      <c r="K45" s="208">
        <f>IF(基本信息!$D$17=K43,1,0)</f>
        <v>0</v>
      </c>
      <c r="L45" s="209">
        <f>IF(基本信息!$D$17=L43,1,0)</f>
        <v>0</v>
      </c>
      <c r="M45" s="209">
        <f>IF(基本信息!$D$17=M43,1,0)</f>
        <v>1</v>
      </c>
      <c r="N45" s="208" t="e">
        <f>IF(基本参数!$B$7/基本参数!$B$6&lt;=1.05,1,0)</f>
        <v>#DIV/0!</v>
      </c>
      <c r="O45" s="207" t="e">
        <f>IF(基本参数!$B$7/基本参数!$B$6&gt;1.05,1,0)</f>
        <v>#DIV/0!</v>
      </c>
      <c r="P45" s="209" t="e">
        <f>IF(基本信息!#REF!=P43,1,0)</f>
        <v>#REF!</v>
      </c>
      <c r="Q45" s="210" t="e">
        <f>IF(基本信息!#REF!=Q43,1,0)</f>
        <v>#REF!</v>
      </c>
      <c r="R45" s="210" t="e">
        <f>IF(基本信息!#REF!=R43,1,0)</f>
        <v>#REF!</v>
      </c>
      <c r="S45" s="208" t="e">
        <f>Q10</f>
        <v>#REF!</v>
      </c>
      <c r="T45" s="210" t="e">
        <f>SUM(R10:T10)</f>
        <v>#REF!</v>
      </c>
      <c r="U45" s="208">
        <f>IF(基本信息!$D$18=U43,1,0)</f>
        <v>0</v>
      </c>
      <c r="V45" s="209">
        <f>IF(基本信息!$D$18=V43,1,0)</f>
        <v>0</v>
      </c>
      <c r="W45" s="208">
        <f>IF(基本信息!$D$19=W43,1,0)</f>
        <v>0</v>
      </c>
      <c r="X45" s="209">
        <f>IF(基本信息!$D$19=X43,1,0)</f>
        <v>0</v>
      </c>
      <c r="Y45" s="209">
        <f>IF(基本信息!$D$19=Y43,1,0)</f>
        <v>0</v>
      </c>
      <c r="Z45" s="209">
        <f>IF(基本信息!$D$19=Z43,1,0)</f>
        <v>0</v>
      </c>
      <c r="AA45" s="207">
        <f>IF(基本信息!$D$19=AA43,1,0)</f>
        <v>0</v>
      </c>
    </row>
    <row r="46" s="180" customFormat="1" ht="17.25" customHeight="1" spans="2:32">
      <c r="B46" s="212"/>
      <c r="C46" s="277" t="s">
        <v>227</v>
      </c>
      <c r="D46" s="278" t="s">
        <v>228</v>
      </c>
      <c r="E46" s="278" t="s">
        <v>229</v>
      </c>
      <c r="F46" s="278" t="s">
        <v>230</v>
      </c>
      <c r="G46" s="279" t="s">
        <v>231</v>
      </c>
      <c r="H46" s="215"/>
      <c r="I46" s="215"/>
      <c r="J46" s="215"/>
      <c r="K46" s="215"/>
      <c r="L46" s="215"/>
      <c r="M46" s="215"/>
      <c r="N46" s="215"/>
      <c r="O46" s="215"/>
      <c r="P46" s="215"/>
      <c r="Q46" s="217"/>
      <c r="R46" s="217"/>
      <c r="S46" s="212"/>
      <c r="T46" s="217"/>
      <c r="U46" s="212"/>
      <c r="V46" s="212"/>
      <c r="W46" s="212"/>
      <c r="X46" s="212"/>
      <c r="Y46" s="212"/>
      <c r="Z46" s="212"/>
      <c r="AA46" s="212"/>
      <c r="AB46" s="217"/>
      <c r="AC46" s="217"/>
      <c r="AD46" s="212"/>
      <c r="AE46" s="217"/>
      <c r="AF46" s="217"/>
    </row>
    <row r="47" ht="17.25" customHeight="1" spans="2:32">
      <c r="C47" s="280" t="e">
        <f>C44*SUMPRODUCT(D44:J44,D45:J45)*SUMPRODUCT(K44:M44,K45:M45)*SUMPRODUCT(N44:O44,N45:O45)*SUMPRODUCT(P44:R44,P45:R45)*SUMPRODUCT(S44:T44,S45:T45)*SUMPRODUCT(U44:V44,U45:V45)*SUMPRODUCT(W44:AA44,W45:AA45)*AB44</f>
        <v>#DIV/0!</v>
      </c>
      <c r="D47" s="223" t="e">
        <f>$C$47/$AB$44*AC44</f>
        <v>#DIV/0!</v>
      </c>
      <c r="E47" s="223" t="e">
        <f>$C$47/$AB$44*AD44</f>
        <v>#DIV/0!</v>
      </c>
      <c r="F47" s="223" t="e">
        <f>$C$47/$AB$44*AE44</f>
        <v>#DIV/0!</v>
      </c>
      <c r="G47" s="223" t="e">
        <f>$C$47/$AB$44*AF44</f>
        <v>#DIV/0!</v>
      </c>
    </row>
    <row r="48" ht="17.25" customHeight="1"/>
    <row r="49" ht="17.25" customHeight="1"/>
    <row r="50" ht="17.25" customHeight="1"/>
    <row r="51" ht="17.25" customHeight="1" spans="2:16">
      <c r="B51" s="75" t="s">
        <v>232</v>
      </c>
    </row>
    <row r="52" ht="17.25" customHeight="1" spans="2:16">
      <c r="B52" s="281" t="s">
        <v>233</v>
      </c>
      <c r="C52" s="236" t="s">
        <v>234</v>
      </c>
      <c r="D52" s="234" t="s">
        <v>92</v>
      </c>
      <c r="E52" s="234" t="s">
        <v>99</v>
      </c>
      <c r="F52" s="234" t="s">
        <v>104</v>
      </c>
      <c r="G52" s="234" t="s">
        <v>119</v>
      </c>
      <c r="H52" s="234" t="s">
        <v>113</v>
      </c>
      <c r="I52" s="234" t="s">
        <v>131</v>
      </c>
      <c r="J52" s="234" t="s">
        <v>137</v>
      </c>
    </row>
    <row r="53" ht="17.25" customHeight="1" spans="2:16">
      <c r="B53" s="238"/>
      <c r="C53" s="282">
        <f>_xlfn.XLOOKUP(地区辅助页!H1,D52:J52,D53:J53,"",0)</f>
        <v>38.7</v>
      </c>
      <c r="D53" s="236">
        <v>38.7</v>
      </c>
      <c r="E53" s="236">
        <v>38.7</v>
      </c>
      <c r="F53" s="236">
        <v>49.56</v>
      </c>
      <c r="G53" s="236">
        <v>49.56</v>
      </c>
      <c r="H53" s="236">
        <v>39.5</v>
      </c>
      <c r="I53" s="234">
        <v>36</v>
      </c>
      <c r="J53" s="236">
        <v>38.5</v>
      </c>
    </row>
    <row r="54" ht="17.25" customHeight="1"/>
    <row r="55" ht="17.25" customHeight="1" spans="2:16">
      <c r="B55" s="253" t="s">
        <v>235</v>
      </c>
      <c r="C55" s="283" t="s">
        <v>234</v>
      </c>
      <c r="D55" s="257" t="s">
        <v>236</v>
      </c>
      <c r="E55" s="258"/>
      <c r="F55" s="258"/>
      <c r="G55" s="259"/>
      <c r="H55" s="257" t="s">
        <v>237</v>
      </c>
      <c r="I55" s="258"/>
      <c r="J55" s="258"/>
      <c r="K55" s="259"/>
      <c r="L55" s="234" t="s">
        <v>238</v>
      </c>
      <c r="M55" s="234"/>
      <c r="N55" s="234"/>
      <c r="O55" s="234"/>
      <c r="P55" s="234"/>
    </row>
    <row r="56" ht="17.25" customHeight="1" spans="2:16">
      <c r="B56" s="284"/>
      <c r="C56" s="247"/>
      <c r="D56" s="234" t="s">
        <v>239</v>
      </c>
      <c r="E56" s="234" t="s">
        <v>240</v>
      </c>
      <c r="F56" s="234" t="s">
        <v>241</v>
      </c>
      <c r="G56" s="234" t="s">
        <v>242</v>
      </c>
      <c r="H56" s="234" t="s">
        <v>239</v>
      </c>
      <c r="I56" s="234" t="s">
        <v>240</v>
      </c>
      <c r="J56" s="234" t="s">
        <v>241</v>
      </c>
      <c r="K56" s="234" t="s">
        <v>242</v>
      </c>
      <c r="L56" s="234" t="s">
        <v>243</v>
      </c>
      <c r="M56" s="285" t="s">
        <v>244</v>
      </c>
      <c r="N56" s="285" t="s">
        <v>245</v>
      </c>
      <c r="O56" s="234" t="s">
        <v>246</v>
      </c>
      <c r="P56" s="234" t="s">
        <v>247</v>
      </c>
    </row>
    <row r="57" ht="17.25" customHeight="1" spans="2:16">
      <c r="B57" s="267"/>
      <c r="C57" s="286" t="e">
        <f>SUMPRODUCT(D57:P57,D58:P58)</f>
        <v>#REF!</v>
      </c>
      <c r="D57" s="234">
        <f>0.109*基本参数!$B$6</f>
        <v>0</v>
      </c>
      <c r="E57" s="234">
        <f>0.068*基本参数!$B$6</f>
        <v>0</v>
      </c>
      <c r="F57" s="234">
        <f>0.05*基本参数!$B$6</f>
        <v>0</v>
      </c>
      <c r="G57" s="234">
        <f>0.03*基本参数!$B$6</f>
        <v>0</v>
      </c>
      <c r="H57" s="234">
        <f>0.2*基本参数!$B$6</f>
        <v>0</v>
      </c>
      <c r="I57" s="234">
        <f>0.1*基本参数!$B$6</f>
        <v>0</v>
      </c>
      <c r="J57" s="234">
        <f>0.084*基本参数!$B$6</f>
        <v>0</v>
      </c>
      <c r="K57" s="234">
        <f>0.03*基本参数!$B$6</f>
        <v>0</v>
      </c>
      <c r="L57" s="234">
        <v>1</v>
      </c>
      <c r="M57" s="234">
        <v>2</v>
      </c>
      <c r="N57" s="234">
        <v>3</v>
      </c>
      <c r="O57" s="234">
        <v>4</v>
      </c>
      <c r="P57" s="234">
        <v>5</v>
      </c>
    </row>
    <row r="58" ht="17.25" customHeight="1" spans="2:16">
      <c r="C58" s="206" t="e">
        <f>IF(SUM(D58:P58)=1,"正确","错误")</f>
        <v>#REF!</v>
      </c>
      <c r="D58" s="208" t="e">
        <f>IF(AND(基本信息!#REF!="集团自主运维标准",基本参数!$B$6&lt;50),1,0)</f>
        <v>#REF!</v>
      </c>
      <c r="E58" s="208" t="e">
        <f>IF(AND(基本信息!#REF!="集团自主运维标准",基本参数!$B$6&gt;=50,基本参数!$B$6&lt;100),1,0)</f>
        <v>#REF!</v>
      </c>
      <c r="F58" s="208" t="e">
        <f>IF(AND(基本信息!#REF!="集团自主运维标准",基本参数!$B$6&gt;=100,基本参数!$B$6&lt;200),1,0)</f>
        <v>#REF!</v>
      </c>
      <c r="G58" s="208" t="e">
        <f>IF(AND(基本信息!#REF!="集团自主运维标准",基本参数!$B$6&gt;=200),1,0)</f>
        <v>#REF!</v>
      </c>
      <c r="H58" s="208"/>
      <c r="I58" s="208"/>
      <c r="J58" s="208"/>
      <c r="K58" s="208"/>
      <c r="L58" s="208" t="e">
        <f>IF(AND(基本信息!#REF!="委托运维",基本参数!$B$6&lt;=30),1,0)</f>
        <v>#REF!</v>
      </c>
      <c r="M58" s="208" t="e">
        <f>IF(AND(基本信息!#REF!="委托运维",基本参数!$B$6&gt;30,基本参数!$B$6&lt;=100),1,0)</f>
        <v>#REF!</v>
      </c>
      <c r="N58" s="208" t="e">
        <f>IF(AND(基本信息!#REF!="委托运维",基本参数!$B$6&gt;100,基本参数!$B$6&lt;=500),1,0)</f>
        <v>#REF!</v>
      </c>
      <c r="O58" s="208" t="e">
        <f>IF(AND(基本信息!#REF!="委托运维",基本参数!$B$6&gt;500,基本参数!$B$6&lt;=1000),1,0)</f>
        <v>#REF!</v>
      </c>
      <c r="P58" s="235" t="e">
        <f>IF(AND(基本信息!#REF!="委托运维",基本参数!$B$6&gt;1000),1,0)</f>
        <v>#REF!</v>
      </c>
    </row>
  </sheetData>
  <mergeCells count="43">
    <mergeCell ref="E2:I2"/>
    <mergeCell ref="J2:K2"/>
    <mergeCell ref="L2:N2"/>
    <mergeCell ref="O2:P2"/>
    <mergeCell ref="Q2:T2"/>
    <mergeCell ref="U2:V2"/>
    <mergeCell ref="W2:X2"/>
    <mergeCell ref="Y2:Z2"/>
    <mergeCell ref="C10:D10"/>
    <mergeCell ref="C11:D11"/>
    <mergeCell ref="D22:H22"/>
    <mergeCell ref="I22:K22"/>
    <mergeCell ref="L22:M22"/>
    <mergeCell ref="N22:Q22"/>
    <mergeCell ref="R22:S22"/>
    <mergeCell ref="T22:U22"/>
    <mergeCell ref="V22:W22"/>
    <mergeCell ref="C26:D26"/>
    <mergeCell ref="D32:H32"/>
    <mergeCell ref="I32:J32"/>
    <mergeCell ref="D42:J42"/>
    <mergeCell ref="K42:M42"/>
    <mergeCell ref="N42:O42"/>
    <mergeCell ref="P42:R42"/>
    <mergeCell ref="S42:T42"/>
    <mergeCell ref="U42:V42"/>
    <mergeCell ref="W42:AA42"/>
    <mergeCell ref="AB42:AF42"/>
    <mergeCell ref="D55:G55"/>
    <mergeCell ref="H55:K55"/>
    <mergeCell ref="L55:P55"/>
    <mergeCell ref="B2:B3"/>
    <mergeCell ref="B22:B23"/>
    <mergeCell ref="B32:B33"/>
    <mergeCell ref="B42:B43"/>
    <mergeCell ref="B52:B53"/>
    <mergeCell ref="B55:B57"/>
    <mergeCell ref="C2:C3"/>
    <mergeCell ref="C22:C23"/>
    <mergeCell ref="C32:C33"/>
    <mergeCell ref="C42:C43"/>
    <mergeCell ref="C55:C56"/>
    <mergeCell ref="D2:D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36"/>
  <sheetViews>
    <sheetView workbookViewId="0">
      <pane xSplit="1" topLeftCell="B1" activePane="topRight" state="frozen"/>
      <selection/>
      <selection pane="topRight" activeCell="A1" sqref="A1:O1"/>
    </sheetView>
  </sheetViews>
  <sheetFormatPr defaultColWidth="8.83333333333333" defaultRowHeight="13.5"/>
  <cols>
    <col min="1" max="1" width="8.16666666666667" style="181" customWidth="1"/>
    <col min="2" max="8" width="8.16666666666667" style="182" customWidth="1"/>
    <col min="9" max="15" width="8.16666666666667" style="183" customWidth="1"/>
    <col min="16" max="16" width="8.16666666666667" style="180" customWidth="1"/>
    <col min="17" max="17" width="8.16666666666667" style="181" customWidth="1"/>
    <col min="18" max="24" width="8.16666666666667" style="182" customWidth="1"/>
    <col min="25" max="31" width="8.16666666666667" style="183" customWidth="1"/>
  </cols>
  <sheetData>
    <row r="1" s="180" customFormat="1" ht="17.25" customHeight="1" spans="1:31">
      <c r="A1" s="184" t="s">
        <v>248</v>
      </c>
      <c r="B1" s="185"/>
      <c r="C1" s="185"/>
      <c r="D1" s="185"/>
      <c r="E1" s="185"/>
      <c r="F1" s="185"/>
      <c r="G1" s="185"/>
      <c r="H1" s="185"/>
      <c r="I1" s="186"/>
      <c r="J1" s="186"/>
      <c r="K1" s="186"/>
      <c r="L1" s="186"/>
      <c r="M1" s="186"/>
      <c r="N1" s="186"/>
      <c r="O1" s="186"/>
      <c r="P1" s="187"/>
      <c r="Q1" s="184" t="s">
        <v>249</v>
      </c>
      <c r="R1" s="185"/>
      <c r="S1" s="185"/>
      <c r="T1" s="185"/>
      <c r="U1" s="185"/>
      <c r="V1" s="185"/>
      <c r="W1" s="185"/>
      <c r="X1" s="185"/>
      <c r="Y1" s="186"/>
      <c r="Z1" s="186"/>
      <c r="AA1" s="186"/>
      <c r="AB1" s="186"/>
      <c r="AC1" s="186"/>
      <c r="AD1" s="186"/>
      <c r="AE1" s="186"/>
    </row>
    <row r="2" s="180" customFormat="1" ht="17.25" customHeight="1" spans="1:31">
      <c r="A2" s="188" t="s">
        <v>250</v>
      </c>
      <c r="B2" s="189" t="s">
        <v>251</v>
      </c>
      <c r="C2" s="189"/>
      <c r="D2" s="189"/>
      <c r="E2" s="189"/>
      <c r="F2" s="189"/>
      <c r="G2" s="189"/>
      <c r="H2" s="189"/>
      <c r="I2" s="190" t="s">
        <v>252</v>
      </c>
      <c r="J2" s="190"/>
      <c r="K2" s="190"/>
      <c r="L2" s="190"/>
      <c r="M2" s="190"/>
      <c r="N2" s="190"/>
      <c r="O2" s="190"/>
      <c r="P2" s="187"/>
      <c r="Q2" s="188" t="s">
        <v>250</v>
      </c>
      <c r="R2" s="189" t="s">
        <v>251</v>
      </c>
      <c r="S2" s="189"/>
      <c r="T2" s="189"/>
      <c r="U2" s="189"/>
      <c r="V2" s="189"/>
      <c r="W2" s="189"/>
      <c r="X2" s="189"/>
      <c r="Y2" s="190" t="s">
        <v>252</v>
      </c>
      <c r="Z2" s="190"/>
      <c r="AA2" s="190"/>
      <c r="AB2" s="190"/>
      <c r="AC2" s="190"/>
      <c r="AD2" s="190"/>
      <c r="AE2" s="190"/>
    </row>
    <row r="3" s="180" customFormat="1" ht="31" customHeight="1" spans="1:31">
      <c r="A3" s="11"/>
      <c r="B3" s="189" t="s">
        <v>253</v>
      </c>
      <c r="C3" s="189" t="s">
        <v>254</v>
      </c>
      <c r="D3" s="189" t="s">
        <v>255</v>
      </c>
      <c r="E3" s="189" t="s">
        <v>256</v>
      </c>
      <c r="F3" s="189" t="s">
        <v>257</v>
      </c>
      <c r="G3" s="189" t="s">
        <v>258</v>
      </c>
      <c r="H3" s="189" t="s">
        <v>259</v>
      </c>
      <c r="I3" s="190" t="s">
        <v>260</v>
      </c>
      <c r="J3" s="190" t="s">
        <v>261</v>
      </c>
      <c r="K3" s="190" t="s">
        <v>262</v>
      </c>
      <c r="L3" s="190" t="s">
        <v>263</v>
      </c>
      <c r="M3" s="190" t="s">
        <v>264</v>
      </c>
      <c r="N3" s="190" t="s">
        <v>265</v>
      </c>
      <c r="O3" s="190" t="s">
        <v>266</v>
      </c>
      <c r="P3" s="187"/>
      <c r="Q3" s="11"/>
      <c r="R3" s="189" t="s">
        <v>253</v>
      </c>
      <c r="S3" s="189" t="s">
        <v>254</v>
      </c>
      <c r="T3" s="189" t="s">
        <v>255</v>
      </c>
      <c r="U3" s="189" t="s">
        <v>256</v>
      </c>
      <c r="V3" s="189" t="s">
        <v>257</v>
      </c>
      <c r="W3" s="189" t="s">
        <v>258</v>
      </c>
      <c r="X3" s="189" t="s">
        <v>259</v>
      </c>
      <c r="Y3" s="190" t="s">
        <v>260</v>
      </c>
      <c r="Z3" s="190" t="s">
        <v>261</v>
      </c>
      <c r="AA3" s="190" t="s">
        <v>262</v>
      </c>
      <c r="AB3" s="190" t="s">
        <v>263</v>
      </c>
      <c r="AC3" s="190" t="s">
        <v>264</v>
      </c>
      <c r="AD3" s="190" t="s">
        <v>265</v>
      </c>
      <c r="AE3" s="190" t="s">
        <v>266</v>
      </c>
    </row>
    <row r="4" s="180" customFormat="1" ht="15" customHeight="1" spans="1:31">
      <c r="A4" s="191" t="s">
        <v>91</v>
      </c>
      <c r="B4" s="192">
        <v>0.3598</v>
      </c>
      <c r="C4" s="192">
        <v>0.3598</v>
      </c>
      <c r="D4" s="192">
        <v>0.3598</v>
      </c>
      <c r="E4" s="192">
        <v>0.3598</v>
      </c>
      <c r="F4" s="192">
        <v>0.3598</v>
      </c>
      <c r="G4" s="192">
        <v>0.3598</v>
      </c>
      <c r="H4" s="192">
        <v>0.3598</v>
      </c>
      <c r="I4" s="193">
        <v>0</v>
      </c>
      <c r="J4" s="193">
        <v>0.0067</v>
      </c>
      <c r="K4" s="193">
        <v>0.0133</v>
      </c>
      <c r="L4" s="193">
        <v>0.02</v>
      </c>
      <c r="M4" s="193">
        <v>0.0267</v>
      </c>
      <c r="N4" s="193">
        <v>0.0333</v>
      </c>
      <c r="O4" s="193">
        <v>0.04</v>
      </c>
      <c r="P4" s="187"/>
      <c r="Q4" s="191" t="s">
        <v>91</v>
      </c>
      <c r="R4" s="192">
        <v>0.3598</v>
      </c>
      <c r="S4" s="192">
        <v>0.3538</v>
      </c>
      <c r="T4" s="192">
        <v>0.3478</v>
      </c>
      <c r="U4" s="192">
        <v>0.3418</v>
      </c>
      <c r="V4" s="192">
        <v>0.3358</v>
      </c>
      <c r="W4" s="192">
        <v>0.3298</v>
      </c>
      <c r="X4" s="192">
        <v>0.3238</v>
      </c>
      <c r="Y4" s="193">
        <v>0</v>
      </c>
      <c r="Z4" s="193">
        <v>0.004</v>
      </c>
      <c r="AA4" s="193">
        <v>0.008</v>
      </c>
      <c r="AB4" s="193">
        <v>0.012</v>
      </c>
      <c r="AC4" s="193">
        <v>0.016</v>
      </c>
      <c r="AD4" s="193">
        <v>0.02</v>
      </c>
      <c r="AE4" s="193">
        <v>0.024</v>
      </c>
    </row>
    <row r="5" s="180" customFormat="1" ht="15" customHeight="1" spans="1:31">
      <c r="A5" s="191" t="s">
        <v>39</v>
      </c>
      <c r="B5" s="192">
        <v>0.4175</v>
      </c>
      <c r="C5" s="192">
        <v>0.4088</v>
      </c>
      <c r="D5" s="192">
        <v>0.4002</v>
      </c>
      <c r="E5" s="192">
        <v>0.3915</v>
      </c>
      <c r="F5" s="192">
        <v>0.3828</v>
      </c>
      <c r="G5" s="192">
        <v>0.3742</v>
      </c>
      <c r="H5" s="192">
        <v>0.3655</v>
      </c>
      <c r="I5" s="193">
        <v>0.0174</v>
      </c>
      <c r="J5" s="193">
        <v>0.0195</v>
      </c>
      <c r="K5" s="193">
        <v>0.0216</v>
      </c>
      <c r="L5" s="193">
        <v>0.0237</v>
      </c>
      <c r="M5" s="193">
        <v>0.0258</v>
      </c>
      <c r="N5" s="193">
        <v>0.0279</v>
      </c>
      <c r="O5" s="193">
        <v>0.03</v>
      </c>
      <c r="P5" s="187"/>
      <c r="Q5" s="191" t="s">
        <v>39</v>
      </c>
      <c r="R5" s="192">
        <v>0.4175</v>
      </c>
      <c r="S5" s="192">
        <v>0.3967</v>
      </c>
      <c r="T5" s="192">
        <v>0.3758</v>
      </c>
      <c r="U5" s="192">
        <v>0.355</v>
      </c>
      <c r="V5" s="192">
        <v>0.3341</v>
      </c>
      <c r="W5" s="192">
        <v>0.3133</v>
      </c>
      <c r="X5" s="192">
        <v>0.2924</v>
      </c>
      <c r="Y5" s="193">
        <v>0.0174</v>
      </c>
      <c r="Z5" s="193">
        <v>0.0165</v>
      </c>
      <c r="AA5" s="193">
        <v>0.0156</v>
      </c>
      <c r="AB5" s="193">
        <v>0.0147</v>
      </c>
      <c r="AC5" s="193">
        <v>0.0138</v>
      </c>
      <c r="AD5" s="193">
        <v>0.0129</v>
      </c>
      <c r="AE5" s="193">
        <v>0.012</v>
      </c>
    </row>
    <row r="6" s="180" customFormat="1" ht="15" customHeight="1" spans="1:31">
      <c r="A6" s="191" t="s">
        <v>94</v>
      </c>
      <c r="B6" s="192">
        <v>0.3526</v>
      </c>
      <c r="C6" s="192">
        <v>0.3413</v>
      </c>
      <c r="D6" s="192">
        <v>0.33</v>
      </c>
      <c r="E6" s="192">
        <v>0.3187</v>
      </c>
      <c r="F6" s="192">
        <v>0.3074</v>
      </c>
      <c r="G6" s="192">
        <v>0.2961</v>
      </c>
      <c r="H6" s="192">
        <v>0.2848</v>
      </c>
      <c r="I6" s="193">
        <v>0.0681</v>
      </c>
      <c r="J6" s="193">
        <v>0.0901</v>
      </c>
      <c r="K6" s="193">
        <v>0.1121</v>
      </c>
      <c r="L6" s="193">
        <v>0.1341</v>
      </c>
      <c r="M6" s="193">
        <v>0.156</v>
      </c>
      <c r="N6" s="193">
        <v>0.178</v>
      </c>
      <c r="O6" s="193">
        <v>0.2</v>
      </c>
      <c r="P6" s="187"/>
      <c r="Q6" s="191" t="s">
        <v>94</v>
      </c>
      <c r="R6" s="192">
        <v>0.3526</v>
      </c>
      <c r="S6" s="192">
        <v>0.3191</v>
      </c>
      <c r="T6" s="192">
        <v>0.2856</v>
      </c>
      <c r="U6" s="192">
        <v>0.2521</v>
      </c>
      <c r="V6" s="192">
        <v>0.2186</v>
      </c>
      <c r="W6" s="192">
        <v>0.1851</v>
      </c>
      <c r="X6" s="192">
        <v>0.1516</v>
      </c>
      <c r="Y6" s="193">
        <v>0.0681</v>
      </c>
      <c r="Z6" s="193">
        <v>0.0868</v>
      </c>
      <c r="AA6" s="193">
        <v>0.1054</v>
      </c>
      <c r="AB6" s="193">
        <v>0.1241</v>
      </c>
      <c r="AC6" s="193">
        <v>0.1427</v>
      </c>
      <c r="AD6" s="193">
        <v>0.1614</v>
      </c>
      <c r="AE6" s="193">
        <v>0.18</v>
      </c>
    </row>
    <row r="7" s="180" customFormat="1" ht="15" customHeight="1" spans="1:31">
      <c r="A7" s="191" t="s">
        <v>96</v>
      </c>
      <c r="B7" s="192">
        <v>0.3526</v>
      </c>
      <c r="C7" s="192">
        <v>0.3408</v>
      </c>
      <c r="D7" s="192">
        <v>0.329</v>
      </c>
      <c r="E7" s="192">
        <v>0.3172</v>
      </c>
      <c r="F7" s="192">
        <v>0.3054</v>
      </c>
      <c r="G7" s="192">
        <v>0.2936</v>
      </c>
      <c r="H7" s="192">
        <v>0.2818</v>
      </c>
      <c r="I7" s="193">
        <v>0.0681</v>
      </c>
      <c r="J7" s="193">
        <v>0.0901</v>
      </c>
      <c r="K7" s="193">
        <v>0.1121</v>
      </c>
      <c r="L7" s="193">
        <v>0.1341</v>
      </c>
      <c r="M7" s="193">
        <v>0.156</v>
      </c>
      <c r="N7" s="193">
        <v>0.178</v>
      </c>
      <c r="O7" s="193">
        <v>0.2</v>
      </c>
      <c r="P7" s="187"/>
      <c r="Q7" s="191" t="s">
        <v>96</v>
      </c>
      <c r="R7" s="192">
        <v>0.3526</v>
      </c>
      <c r="S7" s="192">
        <v>0.3187</v>
      </c>
      <c r="T7" s="192">
        <v>0.2848</v>
      </c>
      <c r="U7" s="192">
        <v>0.251</v>
      </c>
      <c r="V7" s="192">
        <v>0.2171</v>
      </c>
      <c r="W7" s="192">
        <v>0.1832</v>
      </c>
      <c r="X7" s="192">
        <v>0.1493</v>
      </c>
      <c r="Y7" s="193">
        <v>0.0681</v>
      </c>
      <c r="Z7" s="193">
        <v>0.0868</v>
      </c>
      <c r="AA7" s="193">
        <v>0.1054</v>
      </c>
      <c r="AB7" s="193">
        <v>0.1241</v>
      </c>
      <c r="AC7" s="193">
        <v>0.1427</v>
      </c>
      <c r="AD7" s="193">
        <v>0.1614</v>
      </c>
      <c r="AE7" s="193">
        <v>0.18</v>
      </c>
    </row>
    <row r="8" s="180" customFormat="1" ht="15" customHeight="1" spans="1:31">
      <c r="A8" s="191" t="s">
        <v>97</v>
      </c>
      <c r="B8" s="192">
        <v>0.2033</v>
      </c>
      <c r="C8" s="192">
        <v>0.207</v>
      </c>
      <c r="D8" s="192">
        <v>0.207</v>
      </c>
      <c r="E8" s="192">
        <v>0.207</v>
      </c>
      <c r="F8" s="192">
        <v>0.207</v>
      </c>
      <c r="G8" s="192">
        <v>0.207</v>
      </c>
      <c r="H8" s="192">
        <v>0.207</v>
      </c>
      <c r="I8" s="193">
        <v>0.0639</v>
      </c>
      <c r="J8" s="193">
        <v>0.0741</v>
      </c>
      <c r="K8" s="193">
        <v>0.0843</v>
      </c>
      <c r="L8" s="193">
        <v>0.0945</v>
      </c>
      <c r="M8" s="193">
        <v>0.1046</v>
      </c>
      <c r="N8" s="193">
        <v>0.1148</v>
      </c>
      <c r="O8" s="193">
        <v>0.125</v>
      </c>
      <c r="P8" s="187"/>
      <c r="Q8" s="191" t="s">
        <v>97</v>
      </c>
      <c r="R8" s="192">
        <v>0.2033</v>
      </c>
      <c r="S8" s="192">
        <v>0.2026</v>
      </c>
      <c r="T8" s="192">
        <v>0.2019</v>
      </c>
      <c r="U8" s="192">
        <v>0.2013</v>
      </c>
      <c r="V8" s="192">
        <v>0.2006</v>
      </c>
      <c r="W8" s="192">
        <v>0.1999</v>
      </c>
      <c r="X8" s="192">
        <v>0.1992</v>
      </c>
      <c r="Y8" s="193">
        <v>0.0639</v>
      </c>
      <c r="Z8" s="193">
        <v>0.0693</v>
      </c>
      <c r="AA8" s="193">
        <v>0.0746</v>
      </c>
      <c r="AB8" s="193">
        <v>0.08</v>
      </c>
      <c r="AC8" s="193">
        <v>0.0853</v>
      </c>
      <c r="AD8" s="193">
        <v>0.0907</v>
      </c>
      <c r="AE8" s="193">
        <v>0.096</v>
      </c>
    </row>
    <row r="9" s="180" customFormat="1" ht="15" customHeight="1" spans="1:31">
      <c r="A9" s="191" t="s">
        <v>127</v>
      </c>
      <c r="B9" s="192">
        <v>0.265</v>
      </c>
      <c r="C9" s="192">
        <v>0.2579</v>
      </c>
      <c r="D9" s="192">
        <v>0.2508</v>
      </c>
      <c r="E9" s="192">
        <v>0.2437</v>
      </c>
      <c r="F9" s="192">
        <v>0.2366</v>
      </c>
      <c r="G9" s="192">
        <v>0.2295</v>
      </c>
      <c r="H9" s="192">
        <v>0.2224</v>
      </c>
      <c r="I9" s="193">
        <v>0.0509</v>
      </c>
      <c r="J9" s="193">
        <v>0.0658</v>
      </c>
      <c r="K9" s="193">
        <v>0.0806</v>
      </c>
      <c r="L9" s="193">
        <v>0.0955</v>
      </c>
      <c r="M9" s="193">
        <v>0.1103</v>
      </c>
      <c r="N9" s="193">
        <v>0.1252</v>
      </c>
      <c r="O9" s="193">
        <v>0.14</v>
      </c>
      <c r="P9" s="187"/>
      <c r="Q9" s="191" t="s">
        <v>127</v>
      </c>
      <c r="R9" s="192">
        <v>0.265</v>
      </c>
      <c r="S9" s="192">
        <v>0.2512</v>
      </c>
      <c r="T9" s="192">
        <v>0.2374</v>
      </c>
      <c r="U9" s="192">
        <v>0.2236</v>
      </c>
      <c r="V9" s="192">
        <v>0.2097</v>
      </c>
      <c r="W9" s="192">
        <v>0.1959</v>
      </c>
      <c r="X9" s="192">
        <v>0.1821</v>
      </c>
      <c r="Y9" s="193">
        <v>0.0509</v>
      </c>
      <c r="Z9" s="193">
        <v>0.0624</v>
      </c>
      <c r="AA9" s="193">
        <v>0.0739</v>
      </c>
      <c r="AB9" s="193">
        <v>0.0855</v>
      </c>
      <c r="AC9" s="193">
        <v>0.097</v>
      </c>
      <c r="AD9" s="193">
        <v>0.1085</v>
      </c>
      <c r="AE9" s="193">
        <v>0.12</v>
      </c>
    </row>
    <row r="10" s="180" customFormat="1" ht="15" customHeight="1" spans="1:31">
      <c r="A10" s="191" t="s">
        <v>129</v>
      </c>
      <c r="B10" s="192">
        <v>0.2435</v>
      </c>
      <c r="C10" s="192">
        <v>0.2774</v>
      </c>
      <c r="D10" s="192">
        <v>0.2647</v>
      </c>
      <c r="E10" s="192">
        <v>0.2521</v>
      </c>
      <c r="F10" s="192">
        <v>0.2394</v>
      </c>
      <c r="G10" s="192">
        <v>0.2268</v>
      </c>
      <c r="H10" s="192">
        <v>0.2142</v>
      </c>
      <c r="I10" s="193">
        <v>0.0509</v>
      </c>
      <c r="J10" s="193">
        <v>0.0674</v>
      </c>
      <c r="K10" s="193">
        <v>0.0839</v>
      </c>
      <c r="L10" s="193">
        <v>0.1005</v>
      </c>
      <c r="M10" s="193">
        <v>0.117</v>
      </c>
      <c r="N10" s="193">
        <v>0.1335</v>
      </c>
      <c r="O10" s="193">
        <v>0.15</v>
      </c>
      <c r="P10" s="187"/>
      <c r="Q10" s="191" t="s">
        <v>129</v>
      </c>
      <c r="R10" s="192">
        <v>0.2435</v>
      </c>
      <c r="S10" s="192">
        <v>0.2277</v>
      </c>
      <c r="T10" s="192">
        <v>0.212</v>
      </c>
      <c r="U10" s="192">
        <v>0.1962</v>
      </c>
      <c r="V10" s="192">
        <v>0.1804</v>
      </c>
      <c r="W10" s="192">
        <v>0.1647</v>
      </c>
      <c r="X10" s="192">
        <v>0.1489</v>
      </c>
      <c r="Y10" s="193">
        <v>0.0509</v>
      </c>
      <c r="Z10" s="193">
        <v>0.0624</v>
      </c>
      <c r="AA10" s="193">
        <v>0.0739</v>
      </c>
      <c r="AB10" s="193">
        <v>0.0855</v>
      </c>
      <c r="AC10" s="193">
        <v>0.097</v>
      </c>
      <c r="AD10" s="193">
        <v>0.1085</v>
      </c>
      <c r="AE10" s="193">
        <v>0.12</v>
      </c>
    </row>
    <row r="11" s="180" customFormat="1" ht="15" customHeight="1" spans="1:31">
      <c r="A11" s="191" t="s">
        <v>98</v>
      </c>
      <c r="B11" s="192">
        <v>0.4022</v>
      </c>
      <c r="C11" s="192">
        <v>0.3783</v>
      </c>
      <c r="D11" s="192">
        <v>0.3545</v>
      </c>
      <c r="E11" s="192">
        <v>0.3306</v>
      </c>
      <c r="F11" s="192">
        <v>0.3067</v>
      </c>
      <c r="G11" s="192">
        <v>0.2829</v>
      </c>
      <c r="H11" s="192">
        <v>0.259</v>
      </c>
      <c r="I11" s="193">
        <v>0.014</v>
      </c>
      <c r="J11" s="193">
        <v>0.0367</v>
      </c>
      <c r="K11" s="193">
        <v>0.0593</v>
      </c>
      <c r="L11" s="193">
        <v>0.082</v>
      </c>
      <c r="M11" s="193">
        <v>0.1047</v>
      </c>
      <c r="N11" s="193">
        <v>0.1273</v>
      </c>
      <c r="O11" s="193">
        <v>0.15</v>
      </c>
      <c r="P11" s="187"/>
      <c r="Q11" s="191" t="s">
        <v>98</v>
      </c>
      <c r="R11" s="192">
        <v>0.4022</v>
      </c>
      <c r="S11" s="192">
        <v>0.3677</v>
      </c>
      <c r="T11" s="192">
        <v>0.3331</v>
      </c>
      <c r="U11" s="192">
        <v>0.2986</v>
      </c>
      <c r="V11" s="192">
        <v>0.264</v>
      </c>
      <c r="W11" s="192">
        <v>0.2295</v>
      </c>
      <c r="X11" s="192">
        <v>0.1949</v>
      </c>
      <c r="Y11" s="193">
        <v>0.014</v>
      </c>
      <c r="Z11" s="193">
        <v>0.0357</v>
      </c>
      <c r="AA11" s="193">
        <v>0.0573</v>
      </c>
      <c r="AB11" s="193">
        <v>0.079</v>
      </c>
      <c r="AC11" s="193">
        <v>0.1007</v>
      </c>
      <c r="AD11" s="193">
        <v>0.1223</v>
      </c>
      <c r="AE11" s="193">
        <v>0.144</v>
      </c>
    </row>
    <row r="12" s="180" customFormat="1" ht="15" customHeight="1" spans="1:31">
      <c r="A12" s="191" t="s">
        <v>101</v>
      </c>
      <c r="B12" s="192">
        <v>0.3246</v>
      </c>
      <c r="C12" s="192">
        <v>0.3103</v>
      </c>
      <c r="D12" s="192">
        <v>0.2959</v>
      </c>
      <c r="E12" s="192">
        <v>0.2816</v>
      </c>
      <c r="F12" s="192">
        <v>0.2672</v>
      </c>
      <c r="G12" s="192">
        <v>0.2529</v>
      </c>
      <c r="H12" s="192">
        <v>0.2385</v>
      </c>
      <c r="I12" s="193">
        <v>0.0186</v>
      </c>
      <c r="J12" s="193">
        <v>0.0422</v>
      </c>
      <c r="K12" s="193">
        <v>0.0657</v>
      </c>
      <c r="L12" s="193">
        <v>0.0893</v>
      </c>
      <c r="M12" s="193">
        <v>0.1129</v>
      </c>
      <c r="N12" s="193">
        <v>0.1364</v>
      </c>
      <c r="O12" s="193">
        <v>0.16</v>
      </c>
      <c r="P12" s="187"/>
      <c r="Q12" s="191" t="s">
        <v>101</v>
      </c>
      <c r="R12" s="192">
        <v>0.3246</v>
      </c>
      <c r="S12" s="192">
        <v>0.3036</v>
      </c>
      <c r="T12" s="192">
        <v>0.2826</v>
      </c>
      <c r="U12" s="192">
        <v>0.2616</v>
      </c>
      <c r="V12" s="192">
        <v>0.2406</v>
      </c>
      <c r="W12" s="192">
        <v>0.2196</v>
      </c>
      <c r="X12" s="192">
        <v>0.1986</v>
      </c>
      <c r="Y12" s="193">
        <v>0.0186</v>
      </c>
      <c r="Z12" s="193">
        <v>0.0395</v>
      </c>
      <c r="AA12" s="193">
        <v>0.0604</v>
      </c>
      <c r="AB12" s="193">
        <v>0.0813</v>
      </c>
      <c r="AC12" s="193">
        <v>0.1022</v>
      </c>
      <c r="AD12" s="193">
        <v>0.1231</v>
      </c>
      <c r="AE12" s="193">
        <v>0.144</v>
      </c>
    </row>
    <row r="13" s="180" customFormat="1" ht="15" customHeight="1" spans="1:31">
      <c r="A13" s="191" t="s">
        <v>102</v>
      </c>
      <c r="B13" s="192">
        <v>0.3422</v>
      </c>
      <c r="C13" s="192">
        <v>0.328</v>
      </c>
      <c r="D13" s="192">
        <v>0.3138</v>
      </c>
      <c r="E13" s="192">
        <v>0.2997</v>
      </c>
      <c r="F13" s="192">
        <v>0.2855</v>
      </c>
      <c r="G13" s="192">
        <v>0.2713</v>
      </c>
      <c r="H13" s="192">
        <v>0.2571</v>
      </c>
      <c r="I13" s="193">
        <v>0.0441</v>
      </c>
      <c r="J13" s="193">
        <v>0.0701</v>
      </c>
      <c r="K13" s="193">
        <v>0.0961</v>
      </c>
      <c r="L13" s="193">
        <v>0.1221</v>
      </c>
      <c r="M13" s="193">
        <v>0.148</v>
      </c>
      <c r="N13" s="193">
        <v>0.174</v>
      </c>
      <c r="O13" s="193">
        <v>0.2</v>
      </c>
      <c r="P13" s="187"/>
      <c r="Q13" s="191" t="s">
        <v>102</v>
      </c>
      <c r="R13" s="192">
        <v>0.3422</v>
      </c>
      <c r="S13" s="192">
        <v>0.3124</v>
      </c>
      <c r="T13" s="192">
        <v>0.2825</v>
      </c>
      <c r="U13" s="192">
        <v>0.2527</v>
      </c>
      <c r="V13" s="192">
        <v>0.2229</v>
      </c>
      <c r="W13" s="192">
        <v>0.193</v>
      </c>
      <c r="X13" s="192">
        <v>0.1632</v>
      </c>
      <c r="Y13" s="193">
        <v>0.0441</v>
      </c>
      <c r="Z13" s="193">
        <v>0.0668</v>
      </c>
      <c r="AA13" s="193">
        <v>0.0894</v>
      </c>
      <c r="AB13" s="193">
        <v>0.1121</v>
      </c>
      <c r="AC13" s="193">
        <v>0.1347</v>
      </c>
      <c r="AD13" s="193">
        <v>0.1574</v>
      </c>
      <c r="AE13" s="193">
        <v>0.18</v>
      </c>
    </row>
    <row r="14" s="180" customFormat="1" ht="15" customHeight="1" spans="1:31">
      <c r="A14" s="191" t="s">
        <v>103</v>
      </c>
      <c r="B14" s="192">
        <v>0.4736</v>
      </c>
      <c r="C14" s="192">
        <v>0.463</v>
      </c>
      <c r="D14" s="192">
        <v>0.4524</v>
      </c>
      <c r="E14" s="192">
        <v>0.4418</v>
      </c>
      <c r="F14" s="192">
        <v>0.4312</v>
      </c>
      <c r="G14" s="192">
        <v>0.4206</v>
      </c>
      <c r="H14" s="192">
        <v>0.41</v>
      </c>
      <c r="I14" s="193">
        <v>0.0003</v>
      </c>
      <c r="J14" s="193">
        <v>0.0003</v>
      </c>
      <c r="K14" s="193">
        <v>0.0002</v>
      </c>
      <c r="L14" s="193">
        <v>0.0002</v>
      </c>
      <c r="M14" s="193">
        <v>0.0001</v>
      </c>
      <c r="N14" s="193">
        <v>0.0001</v>
      </c>
      <c r="O14" s="193">
        <v>0</v>
      </c>
      <c r="P14" s="187"/>
      <c r="Q14" s="191" t="s">
        <v>103</v>
      </c>
      <c r="R14" s="192">
        <v>0.4736</v>
      </c>
      <c r="S14" s="192">
        <v>0.4501</v>
      </c>
      <c r="T14" s="192">
        <v>0.4265</v>
      </c>
      <c r="U14" s="192">
        <v>0.403</v>
      </c>
      <c r="V14" s="192">
        <v>0.3795</v>
      </c>
      <c r="W14" s="192">
        <v>0.3559</v>
      </c>
      <c r="X14" s="192">
        <v>0.3324</v>
      </c>
      <c r="Y14" s="193">
        <v>0.0003</v>
      </c>
      <c r="Z14" s="193">
        <v>0.0003</v>
      </c>
      <c r="AA14" s="193">
        <v>0.0002</v>
      </c>
      <c r="AB14" s="193">
        <v>0.0002</v>
      </c>
      <c r="AC14" s="193">
        <v>0.0001</v>
      </c>
      <c r="AD14" s="193">
        <v>0.0001</v>
      </c>
      <c r="AE14" s="193">
        <v>0</v>
      </c>
    </row>
    <row r="15" s="180" customFormat="1" ht="15" customHeight="1" spans="1:31">
      <c r="A15" s="191" t="s">
        <v>105</v>
      </c>
      <c r="B15" s="192">
        <v>0.4534</v>
      </c>
      <c r="C15" s="192">
        <v>0.4335</v>
      </c>
      <c r="D15" s="192">
        <v>0.4136</v>
      </c>
      <c r="E15" s="192">
        <v>0.3937</v>
      </c>
      <c r="F15" s="192">
        <v>0.3738</v>
      </c>
      <c r="G15" s="192">
        <v>0.3539</v>
      </c>
      <c r="H15" s="192">
        <v>0.334</v>
      </c>
      <c r="I15" s="193">
        <v>0.0041</v>
      </c>
      <c r="J15" s="193">
        <v>0.0134</v>
      </c>
      <c r="K15" s="193">
        <v>0.0227</v>
      </c>
      <c r="L15" s="193">
        <v>0.0321</v>
      </c>
      <c r="M15" s="193">
        <v>0.0414</v>
      </c>
      <c r="N15" s="193">
        <v>0.0507</v>
      </c>
      <c r="O15" s="193">
        <v>0.06</v>
      </c>
      <c r="P15" s="187"/>
      <c r="Q15" s="191" t="s">
        <v>105</v>
      </c>
      <c r="R15" s="192">
        <v>0.4534</v>
      </c>
      <c r="S15" s="192">
        <v>0.4156</v>
      </c>
      <c r="T15" s="192">
        <v>0.3779</v>
      </c>
      <c r="U15" s="192">
        <v>0.3401</v>
      </c>
      <c r="V15" s="192">
        <v>0.3023</v>
      </c>
      <c r="W15" s="192">
        <v>0.2646</v>
      </c>
      <c r="X15" s="192">
        <v>0.2268</v>
      </c>
      <c r="Y15" s="193">
        <v>0.0041</v>
      </c>
      <c r="Z15" s="193">
        <v>0.0134</v>
      </c>
      <c r="AA15" s="193">
        <v>0.0227</v>
      </c>
      <c r="AB15" s="193">
        <v>0.0321</v>
      </c>
      <c r="AC15" s="193">
        <v>0.0414</v>
      </c>
      <c r="AD15" s="193">
        <v>0.0507</v>
      </c>
      <c r="AE15" s="193">
        <v>0.06</v>
      </c>
    </row>
    <row r="16" s="180" customFormat="1" ht="15" customHeight="1" spans="1:31">
      <c r="A16" s="191" t="s">
        <v>106</v>
      </c>
      <c r="B16" s="192">
        <v>0.4463</v>
      </c>
      <c r="C16" s="192">
        <v>0.4399</v>
      </c>
      <c r="D16" s="192">
        <v>0.4335</v>
      </c>
      <c r="E16" s="192">
        <v>0.4272</v>
      </c>
      <c r="F16" s="192">
        <v>0.4208</v>
      </c>
      <c r="G16" s="192">
        <v>0.4144</v>
      </c>
      <c r="H16" s="192">
        <v>0.408</v>
      </c>
      <c r="I16" s="193">
        <v>0.0007</v>
      </c>
      <c r="J16" s="193">
        <v>0.0123</v>
      </c>
      <c r="K16" s="193">
        <v>0.0238</v>
      </c>
      <c r="L16" s="193">
        <v>0.0354</v>
      </c>
      <c r="M16" s="193">
        <v>0.0469</v>
      </c>
      <c r="N16" s="193">
        <v>0.0585</v>
      </c>
      <c r="O16" s="193">
        <v>0.07</v>
      </c>
      <c r="P16" s="187"/>
      <c r="Q16" s="191" t="s">
        <v>106</v>
      </c>
      <c r="R16" s="192">
        <v>0.4463</v>
      </c>
      <c r="S16" s="192">
        <v>0.4204</v>
      </c>
      <c r="T16" s="192">
        <v>0.3944</v>
      </c>
      <c r="U16" s="192">
        <v>0.3685</v>
      </c>
      <c r="V16" s="192">
        <v>0.3426</v>
      </c>
      <c r="W16" s="192">
        <v>0.3166</v>
      </c>
      <c r="X16" s="192">
        <v>0.2907</v>
      </c>
      <c r="Y16" s="193">
        <v>0.0007</v>
      </c>
      <c r="Z16" s="193">
        <v>0.0106</v>
      </c>
      <c r="AA16" s="193">
        <v>0.0205</v>
      </c>
      <c r="AB16" s="193">
        <v>0.0304</v>
      </c>
      <c r="AC16" s="193">
        <v>0.0402</v>
      </c>
      <c r="AD16" s="193">
        <v>0.0501</v>
      </c>
      <c r="AE16" s="193">
        <v>0.06</v>
      </c>
    </row>
    <row r="17" s="180" customFormat="1" ht="15" customHeight="1" spans="1:31">
      <c r="A17" s="191" t="s">
        <v>107</v>
      </c>
      <c r="B17" s="192">
        <v>0.4353</v>
      </c>
      <c r="C17" s="192">
        <v>0.4124</v>
      </c>
      <c r="D17" s="192">
        <v>0.3895</v>
      </c>
      <c r="E17" s="192">
        <v>0.3665</v>
      </c>
      <c r="F17" s="192">
        <v>0.3436</v>
      </c>
      <c r="G17" s="192">
        <v>0.3207</v>
      </c>
      <c r="H17" s="192">
        <v>0.2978</v>
      </c>
      <c r="I17" s="193">
        <v>0.0089</v>
      </c>
      <c r="J17" s="193">
        <v>0.0191</v>
      </c>
      <c r="K17" s="193">
        <v>0.0293</v>
      </c>
      <c r="L17" s="193">
        <v>0.0395</v>
      </c>
      <c r="M17" s="193">
        <v>0.0496</v>
      </c>
      <c r="N17" s="193">
        <v>0.0598</v>
      </c>
      <c r="O17" s="193">
        <v>0.07</v>
      </c>
      <c r="P17" s="187"/>
      <c r="Q17" s="191" t="s">
        <v>107</v>
      </c>
      <c r="R17" s="192">
        <v>0.4353</v>
      </c>
      <c r="S17" s="192">
        <v>0.3903</v>
      </c>
      <c r="T17" s="192">
        <v>0.3453</v>
      </c>
      <c r="U17" s="192">
        <v>0.3003</v>
      </c>
      <c r="V17" s="192">
        <v>0.2553</v>
      </c>
      <c r="W17" s="192">
        <v>0.2103</v>
      </c>
      <c r="X17" s="192">
        <v>0.1653</v>
      </c>
      <c r="Y17" s="193">
        <v>0.0089</v>
      </c>
      <c r="Z17" s="193">
        <v>0.0174</v>
      </c>
      <c r="AA17" s="193">
        <v>0.0259</v>
      </c>
      <c r="AB17" s="193">
        <v>0.0345</v>
      </c>
      <c r="AC17" s="193">
        <v>0.043</v>
      </c>
      <c r="AD17" s="193">
        <v>0.0515</v>
      </c>
      <c r="AE17" s="193">
        <v>0.06</v>
      </c>
    </row>
    <row r="18" s="180" customFormat="1" ht="15" customHeight="1" spans="1:31">
      <c r="A18" s="191" t="s">
        <v>108</v>
      </c>
      <c r="B18" s="192">
        <v>0.3884</v>
      </c>
      <c r="C18" s="192">
        <v>0.3884</v>
      </c>
      <c r="D18" s="192">
        <v>0.3884</v>
      </c>
      <c r="E18" s="192">
        <v>0.3884</v>
      </c>
      <c r="F18" s="192">
        <v>0.3884</v>
      </c>
      <c r="G18" s="192">
        <v>0.3884</v>
      </c>
      <c r="H18" s="192">
        <v>0.3884</v>
      </c>
      <c r="I18" s="193">
        <v>0.0005</v>
      </c>
      <c r="J18" s="193">
        <v>0.0021</v>
      </c>
      <c r="K18" s="193">
        <v>0.0037</v>
      </c>
      <c r="L18" s="193">
        <v>0.0053</v>
      </c>
      <c r="M18" s="193">
        <v>0.0068</v>
      </c>
      <c r="N18" s="193">
        <v>0.0084</v>
      </c>
      <c r="O18" s="193">
        <v>0.01</v>
      </c>
      <c r="P18" s="187"/>
      <c r="Q18" s="191" t="s">
        <v>108</v>
      </c>
      <c r="R18" s="192">
        <v>0.3884</v>
      </c>
      <c r="S18" s="192">
        <v>0.3695</v>
      </c>
      <c r="T18" s="192">
        <v>0.3507</v>
      </c>
      <c r="U18" s="192">
        <v>0.3318</v>
      </c>
      <c r="V18" s="192">
        <v>0.3129</v>
      </c>
      <c r="W18" s="192">
        <v>0.2941</v>
      </c>
      <c r="X18" s="192">
        <v>0.2752</v>
      </c>
      <c r="Y18" s="193">
        <v>0.0005</v>
      </c>
      <c r="Z18" s="193">
        <v>0.0004</v>
      </c>
      <c r="AA18" s="193">
        <v>0.0003</v>
      </c>
      <c r="AB18" s="193">
        <v>0.0003</v>
      </c>
      <c r="AC18" s="193">
        <v>0.0002</v>
      </c>
      <c r="AD18" s="193">
        <v>0.0001</v>
      </c>
      <c r="AE18" s="193">
        <v>0</v>
      </c>
    </row>
    <row r="19" s="180" customFormat="1" ht="15" customHeight="1" spans="1:31">
      <c r="A19" s="191" t="s">
        <v>110</v>
      </c>
      <c r="B19" s="192">
        <v>0.4141</v>
      </c>
      <c r="C19" s="192">
        <v>0.393</v>
      </c>
      <c r="D19" s="192">
        <v>0.3719</v>
      </c>
      <c r="E19" s="192">
        <v>0.3508</v>
      </c>
      <c r="F19" s="192">
        <v>0.3296</v>
      </c>
      <c r="G19" s="192">
        <v>0.3085</v>
      </c>
      <c r="H19" s="192">
        <v>0.2874</v>
      </c>
      <c r="I19" s="193">
        <v>0.0057</v>
      </c>
      <c r="J19" s="193">
        <v>0.0148</v>
      </c>
      <c r="K19" s="193">
        <v>0.0238</v>
      </c>
      <c r="L19" s="193">
        <v>0.0329</v>
      </c>
      <c r="M19" s="193">
        <v>0.0419</v>
      </c>
      <c r="N19" s="193">
        <v>0.051</v>
      </c>
      <c r="O19" s="193">
        <v>0.06</v>
      </c>
      <c r="P19" s="187"/>
      <c r="Q19" s="191" t="s">
        <v>110</v>
      </c>
      <c r="R19" s="192">
        <v>0.4141</v>
      </c>
      <c r="S19" s="192">
        <v>0.3775</v>
      </c>
      <c r="T19" s="192">
        <v>0.341</v>
      </c>
      <c r="U19" s="192">
        <v>0.3044</v>
      </c>
      <c r="V19" s="192">
        <v>0.2678</v>
      </c>
      <c r="W19" s="192">
        <v>0.2313</v>
      </c>
      <c r="X19" s="192">
        <v>0.1947</v>
      </c>
      <c r="Y19" s="193">
        <v>0.0057</v>
      </c>
      <c r="Z19" s="193">
        <v>0.0128</v>
      </c>
      <c r="AA19" s="193">
        <v>0.0198</v>
      </c>
      <c r="AB19" s="193">
        <v>0.0269</v>
      </c>
      <c r="AC19" s="193">
        <v>0.0339</v>
      </c>
      <c r="AD19" s="193">
        <v>0.041</v>
      </c>
      <c r="AE19" s="193">
        <v>0.048</v>
      </c>
    </row>
    <row r="20" s="180" customFormat="1" ht="14.25" customHeight="1" spans="1:31">
      <c r="A20" s="191" t="s">
        <v>111</v>
      </c>
      <c r="B20" s="192">
        <v>0.3465</v>
      </c>
      <c r="C20" s="192">
        <v>0.3392</v>
      </c>
      <c r="D20" s="192">
        <v>0.3294</v>
      </c>
      <c r="E20" s="192">
        <v>0.3196</v>
      </c>
      <c r="F20" s="192">
        <v>0.3098</v>
      </c>
      <c r="G20" s="192">
        <v>0.3</v>
      </c>
      <c r="H20" s="192">
        <v>0.2902</v>
      </c>
      <c r="I20" s="193">
        <v>0.0464</v>
      </c>
      <c r="J20" s="193">
        <v>0.052</v>
      </c>
      <c r="K20" s="193">
        <v>0.0576</v>
      </c>
      <c r="L20" s="193">
        <v>0.0632</v>
      </c>
      <c r="M20" s="193">
        <v>0.0688</v>
      </c>
      <c r="N20" s="193">
        <v>0.0744</v>
      </c>
      <c r="O20" s="193">
        <v>0.08</v>
      </c>
      <c r="P20" s="187"/>
      <c r="Q20" s="191" t="s">
        <v>111</v>
      </c>
      <c r="R20" s="192">
        <v>0.3465</v>
      </c>
      <c r="S20" s="192">
        <v>0.3153</v>
      </c>
      <c r="T20" s="192">
        <v>0.284</v>
      </c>
      <c r="U20" s="192">
        <v>0.2528</v>
      </c>
      <c r="V20" s="192">
        <v>0.2215</v>
      </c>
      <c r="W20" s="192">
        <v>0.1903</v>
      </c>
      <c r="X20" s="192">
        <v>0.159</v>
      </c>
      <c r="Y20" s="193">
        <v>0.0464</v>
      </c>
      <c r="Z20" s="193">
        <v>0.0507</v>
      </c>
      <c r="AA20" s="193">
        <v>0.0549</v>
      </c>
      <c r="AB20" s="193">
        <v>0.0592</v>
      </c>
      <c r="AC20" s="193">
        <v>0.0635</v>
      </c>
      <c r="AD20" s="193">
        <v>0.0677</v>
      </c>
      <c r="AE20" s="193">
        <v>0.072</v>
      </c>
    </row>
    <row r="21" s="180" customFormat="1" ht="14.25" customHeight="1" spans="1:31">
      <c r="A21" s="191" t="s">
        <v>112</v>
      </c>
      <c r="B21" s="192">
        <v>0.3325</v>
      </c>
      <c r="C21" s="192">
        <v>0.3275</v>
      </c>
      <c r="D21" s="192">
        <v>0.3224</v>
      </c>
      <c r="E21" s="192">
        <v>0.3174</v>
      </c>
      <c r="F21" s="192">
        <v>0.3124</v>
      </c>
      <c r="G21" s="192">
        <v>0.3073</v>
      </c>
      <c r="H21" s="192">
        <v>0.3023</v>
      </c>
      <c r="I21" s="193">
        <v>0.0291</v>
      </c>
      <c r="J21" s="193">
        <v>0.0426</v>
      </c>
      <c r="K21" s="193">
        <v>0.0561</v>
      </c>
      <c r="L21" s="193">
        <v>0.0696</v>
      </c>
      <c r="M21" s="193">
        <v>0.083</v>
      </c>
      <c r="N21" s="193">
        <v>0.0965</v>
      </c>
      <c r="O21" s="193">
        <v>0.11</v>
      </c>
      <c r="P21" s="187"/>
      <c r="Q21" s="191" t="s">
        <v>112</v>
      </c>
      <c r="R21" s="192">
        <v>0.3325</v>
      </c>
      <c r="S21" s="192">
        <v>0.3017</v>
      </c>
      <c r="T21" s="192">
        <v>0.2708</v>
      </c>
      <c r="U21" s="192">
        <v>0.24</v>
      </c>
      <c r="V21" s="192">
        <v>0.2091</v>
      </c>
      <c r="W21" s="192">
        <v>0.1783</v>
      </c>
      <c r="X21" s="192">
        <v>0.1474</v>
      </c>
      <c r="Y21" s="193">
        <v>0.0291</v>
      </c>
      <c r="Z21" s="193">
        <v>0.0403</v>
      </c>
      <c r="AA21" s="193">
        <v>0.0514</v>
      </c>
      <c r="AB21" s="193">
        <v>0.0626</v>
      </c>
      <c r="AC21" s="193">
        <v>0.0737</v>
      </c>
      <c r="AD21" s="193">
        <v>0.0849</v>
      </c>
      <c r="AE21" s="193">
        <v>0.096</v>
      </c>
    </row>
    <row r="22" s="180" customFormat="1" ht="14.25" customHeight="1" spans="1:31">
      <c r="A22" s="191" t="s">
        <v>115</v>
      </c>
      <c r="B22" s="192">
        <v>0.35</v>
      </c>
      <c r="C22" s="192">
        <v>0.347</v>
      </c>
      <c r="D22" s="192">
        <v>0.344</v>
      </c>
      <c r="E22" s="192">
        <v>0.3409</v>
      </c>
      <c r="F22" s="192">
        <v>0.3379</v>
      </c>
      <c r="G22" s="192">
        <v>0.3349</v>
      </c>
      <c r="H22" s="192">
        <v>0.3319</v>
      </c>
      <c r="I22" s="193">
        <v>0.0505</v>
      </c>
      <c r="J22" s="193">
        <v>0.0571</v>
      </c>
      <c r="K22" s="193">
        <v>0.0637</v>
      </c>
      <c r="L22" s="193">
        <v>0.0703</v>
      </c>
      <c r="M22" s="193">
        <v>0.0768</v>
      </c>
      <c r="N22" s="193">
        <v>0.0834</v>
      </c>
      <c r="O22" s="193">
        <v>0.09</v>
      </c>
      <c r="P22" s="187"/>
      <c r="Q22" s="191" t="s">
        <v>115</v>
      </c>
      <c r="R22" s="192">
        <v>0.35</v>
      </c>
      <c r="S22" s="192">
        <v>0.3208</v>
      </c>
      <c r="T22" s="192">
        <v>0.2916</v>
      </c>
      <c r="U22" s="192">
        <v>0.2624</v>
      </c>
      <c r="V22" s="192">
        <v>0.2332</v>
      </c>
      <c r="W22" s="192">
        <v>0.204</v>
      </c>
      <c r="X22" s="192">
        <v>0.1748</v>
      </c>
      <c r="Y22" s="193">
        <v>0.0505</v>
      </c>
      <c r="Z22" s="193">
        <v>0.0541</v>
      </c>
      <c r="AA22" s="193">
        <v>0.0577</v>
      </c>
      <c r="AB22" s="193">
        <v>0.0613</v>
      </c>
      <c r="AC22" s="193">
        <v>0.0648</v>
      </c>
      <c r="AD22" s="193">
        <v>0.0684</v>
      </c>
      <c r="AE22" s="193">
        <v>0.072</v>
      </c>
    </row>
    <row r="23" s="180" customFormat="1" ht="14.25" customHeight="1" spans="1:31">
      <c r="A23" s="191" t="s">
        <v>117</v>
      </c>
      <c r="B23" s="192">
        <v>0.403</v>
      </c>
      <c r="C23" s="192">
        <v>0.3911</v>
      </c>
      <c r="D23" s="192">
        <v>0.3793</v>
      </c>
      <c r="E23" s="192">
        <v>0.3674</v>
      </c>
      <c r="F23" s="192">
        <v>0.3555</v>
      </c>
      <c r="G23" s="192">
        <v>0.3436</v>
      </c>
      <c r="H23" s="192">
        <v>0.3318</v>
      </c>
      <c r="I23" s="193">
        <v>0.0107</v>
      </c>
      <c r="J23" s="193">
        <v>0.0206</v>
      </c>
      <c r="K23" s="193">
        <v>0.0305</v>
      </c>
      <c r="L23" s="193">
        <v>0.0404</v>
      </c>
      <c r="M23" s="193">
        <v>0.0502</v>
      </c>
      <c r="N23" s="193">
        <v>0.0601</v>
      </c>
      <c r="O23" s="193">
        <v>0.07</v>
      </c>
      <c r="P23" s="187"/>
      <c r="Q23" s="191" t="s">
        <v>117</v>
      </c>
      <c r="R23" s="192">
        <v>0.403</v>
      </c>
      <c r="S23" s="192">
        <v>0.3801</v>
      </c>
      <c r="T23" s="192">
        <v>0.3572</v>
      </c>
      <c r="U23" s="192">
        <v>0.3343</v>
      </c>
      <c r="V23" s="192">
        <v>0.3113</v>
      </c>
      <c r="W23" s="192">
        <v>0.2884</v>
      </c>
      <c r="X23" s="192">
        <v>0.2655</v>
      </c>
      <c r="Y23" s="193">
        <v>0.0107</v>
      </c>
      <c r="Z23" s="193">
        <v>0.0189</v>
      </c>
      <c r="AA23" s="193">
        <v>0.0271</v>
      </c>
      <c r="AB23" s="193">
        <v>0.0354</v>
      </c>
      <c r="AC23" s="193">
        <v>0.0436</v>
      </c>
      <c r="AD23" s="193">
        <v>0.0518</v>
      </c>
      <c r="AE23" s="193">
        <v>0.06</v>
      </c>
    </row>
    <row r="24" s="180" customFormat="1" ht="14.25" customHeight="1" spans="1:31">
      <c r="A24" s="191" t="s">
        <v>118</v>
      </c>
      <c r="B24" s="192">
        <v>0.4266</v>
      </c>
      <c r="C24" s="192">
        <v>0.4205</v>
      </c>
      <c r="D24" s="192">
        <v>0.415</v>
      </c>
      <c r="E24" s="192">
        <v>0.4095</v>
      </c>
      <c r="F24" s="192">
        <v>0.404</v>
      </c>
      <c r="G24" s="192">
        <v>0.3985</v>
      </c>
      <c r="H24" s="192">
        <v>0.393</v>
      </c>
      <c r="I24" s="193">
        <v>0.0032</v>
      </c>
      <c r="J24" s="193">
        <v>0.0118</v>
      </c>
      <c r="K24" s="193">
        <v>0.0205</v>
      </c>
      <c r="L24" s="193">
        <v>0.0291</v>
      </c>
      <c r="M24" s="193">
        <v>0.0377</v>
      </c>
      <c r="N24" s="193">
        <v>0.0464</v>
      </c>
      <c r="O24" s="193">
        <v>0.055</v>
      </c>
      <c r="P24" s="187"/>
      <c r="Q24" s="191" t="s">
        <v>118</v>
      </c>
      <c r="R24" s="192">
        <v>0.4266</v>
      </c>
      <c r="S24" s="192">
        <v>0.4008</v>
      </c>
      <c r="T24" s="192">
        <v>0.375</v>
      </c>
      <c r="U24" s="192">
        <v>0.3492</v>
      </c>
      <c r="V24" s="192">
        <v>0.3234</v>
      </c>
      <c r="W24" s="192">
        <v>0.2976</v>
      </c>
      <c r="X24" s="192">
        <v>0.2718</v>
      </c>
      <c r="Y24" s="193">
        <v>0.0032</v>
      </c>
      <c r="Z24" s="193">
        <v>0.0107</v>
      </c>
      <c r="AA24" s="193">
        <v>0.0181</v>
      </c>
      <c r="AB24" s="193">
        <v>0.0256</v>
      </c>
      <c r="AC24" s="193">
        <v>0.0331</v>
      </c>
      <c r="AD24" s="193">
        <v>0.0405</v>
      </c>
      <c r="AE24" s="193">
        <v>0.048</v>
      </c>
    </row>
    <row r="25" s="180" customFormat="1" ht="14.25" customHeight="1" spans="1:31">
      <c r="A25" s="191" t="s">
        <v>125</v>
      </c>
      <c r="B25" s="192">
        <v>0.3709</v>
      </c>
      <c r="C25" s="192">
        <v>0.3616</v>
      </c>
      <c r="D25" s="192">
        <v>0.3523</v>
      </c>
      <c r="E25" s="192">
        <v>0.343</v>
      </c>
      <c r="F25" s="192">
        <v>0.3337</v>
      </c>
      <c r="G25" s="192">
        <v>0.3244</v>
      </c>
      <c r="H25" s="192">
        <v>0.3151</v>
      </c>
      <c r="I25" s="193">
        <v>0.0179</v>
      </c>
      <c r="J25" s="193">
        <v>0.0349</v>
      </c>
      <c r="K25" s="193">
        <v>0.0519</v>
      </c>
      <c r="L25" s="193">
        <v>0.069</v>
      </c>
      <c r="M25" s="193">
        <v>0.086</v>
      </c>
      <c r="N25" s="193">
        <v>0.103</v>
      </c>
      <c r="O25" s="193">
        <v>0.12</v>
      </c>
      <c r="P25" s="187"/>
      <c r="Q25" s="191" t="s">
        <v>125</v>
      </c>
      <c r="R25" s="192">
        <v>0.3709</v>
      </c>
      <c r="S25" s="192">
        <v>0.3371</v>
      </c>
      <c r="T25" s="192">
        <v>0.3032</v>
      </c>
      <c r="U25" s="192">
        <v>0.2694</v>
      </c>
      <c r="V25" s="192">
        <v>0.2355</v>
      </c>
      <c r="W25" s="192">
        <v>0.2017</v>
      </c>
      <c r="X25" s="192">
        <v>0.1678</v>
      </c>
      <c r="Y25" s="193">
        <v>0.0179</v>
      </c>
      <c r="Z25" s="193">
        <v>0.0309</v>
      </c>
      <c r="AA25" s="193">
        <v>0.0439</v>
      </c>
      <c r="AB25" s="193">
        <v>0.057</v>
      </c>
      <c r="AC25" s="193">
        <v>0.07</v>
      </c>
      <c r="AD25" s="193">
        <v>0.083</v>
      </c>
      <c r="AE25" s="193">
        <v>0.096</v>
      </c>
    </row>
    <row r="26" s="180" customFormat="1" ht="14.25" customHeight="1" spans="1:31">
      <c r="A26" s="191" t="s">
        <v>120</v>
      </c>
      <c r="B26" s="192">
        <v>0.42</v>
      </c>
      <c r="C26" s="192">
        <v>0.4143</v>
      </c>
      <c r="D26" s="192">
        <v>0.4087</v>
      </c>
      <c r="E26" s="192">
        <v>0.403</v>
      </c>
      <c r="F26" s="192">
        <v>0.3973</v>
      </c>
      <c r="G26" s="192">
        <v>0.3917</v>
      </c>
      <c r="H26" s="192">
        <v>0.386</v>
      </c>
      <c r="I26" s="193">
        <v>0.002</v>
      </c>
      <c r="J26" s="193">
        <v>0.0133</v>
      </c>
      <c r="K26" s="193">
        <v>0.0247</v>
      </c>
      <c r="L26" s="193">
        <v>0.036</v>
      </c>
      <c r="M26" s="193">
        <v>0.0473</v>
      </c>
      <c r="N26" s="193">
        <v>0.0587</v>
      </c>
      <c r="O26" s="193">
        <v>0.07</v>
      </c>
      <c r="P26" s="187"/>
      <c r="Q26" s="191" t="s">
        <v>120</v>
      </c>
      <c r="R26" s="192">
        <v>0.42</v>
      </c>
      <c r="S26" s="192">
        <v>0.3787</v>
      </c>
      <c r="T26" s="192">
        <v>0.3374</v>
      </c>
      <c r="U26" s="192">
        <v>0.2961</v>
      </c>
      <c r="V26" s="192">
        <v>0.2548</v>
      </c>
      <c r="W26" s="192">
        <v>0.2135</v>
      </c>
      <c r="X26" s="192">
        <v>0.1722</v>
      </c>
      <c r="Y26" s="193">
        <v>0.002</v>
      </c>
      <c r="Z26" s="193">
        <v>0.0077</v>
      </c>
      <c r="AA26" s="193">
        <v>0.0133</v>
      </c>
      <c r="AB26" s="193">
        <v>0.019</v>
      </c>
      <c r="AC26" s="193">
        <v>0.0247</v>
      </c>
      <c r="AD26" s="193">
        <v>0.0303</v>
      </c>
      <c r="AE26" s="193">
        <v>0.036</v>
      </c>
    </row>
    <row r="27" s="180" customFormat="1" ht="14.25" customHeight="1" spans="1:31">
      <c r="A27" s="191" t="s">
        <v>130</v>
      </c>
      <c r="B27" s="192">
        <v>0.385</v>
      </c>
      <c r="C27" s="192">
        <v>0.3739</v>
      </c>
      <c r="D27" s="192">
        <v>0.3629</v>
      </c>
      <c r="E27" s="192">
        <v>0.3518</v>
      </c>
      <c r="F27" s="192">
        <v>0.3408</v>
      </c>
      <c r="G27" s="192">
        <v>0.3297</v>
      </c>
      <c r="H27" s="192">
        <v>0.3187</v>
      </c>
      <c r="I27" s="193">
        <v>0</v>
      </c>
      <c r="J27" s="193">
        <v>0.0017</v>
      </c>
      <c r="K27" s="193">
        <v>0.0033</v>
      </c>
      <c r="L27" s="193">
        <v>0.005</v>
      </c>
      <c r="M27" s="193">
        <v>0.0067</v>
      </c>
      <c r="N27" s="193">
        <v>0.0083</v>
      </c>
      <c r="O27" s="193">
        <v>0.01</v>
      </c>
      <c r="P27" s="187"/>
      <c r="Q27" s="191" t="s">
        <v>130</v>
      </c>
      <c r="R27" s="192">
        <v>0.385</v>
      </c>
      <c r="S27" s="192">
        <v>0.3737</v>
      </c>
      <c r="T27" s="192">
        <v>0.3624</v>
      </c>
      <c r="U27" s="192">
        <v>0.3511</v>
      </c>
      <c r="V27" s="192">
        <v>0.3397</v>
      </c>
      <c r="W27" s="192">
        <v>0.3284</v>
      </c>
      <c r="X27" s="192">
        <v>0.3171</v>
      </c>
      <c r="Y27" s="193">
        <v>0</v>
      </c>
      <c r="Z27" s="193">
        <v>0.002</v>
      </c>
      <c r="AA27" s="193">
        <v>0.004</v>
      </c>
      <c r="AB27" s="193">
        <v>0.006</v>
      </c>
      <c r="AC27" s="193">
        <v>0.008</v>
      </c>
      <c r="AD27" s="193">
        <v>0.01</v>
      </c>
      <c r="AE27" s="193">
        <v>0.012</v>
      </c>
    </row>
    <row r="28" s="180" customFormat="1" ht="14.25" customHeight="1" spans="1:31">
      <c r="A28" s="191" t="s">
        <v>132</v>
      </c>
      <c r="B28" s="192">
        <v>0.3154</v>
      </c>
      <c r="C28" s="192">
        <v>0.3078</v>
      </c>
      <c r="D28" s="192">
        <v>0.3001</v>
      </c>
      <c r="E28" s="192">
        <v>0.2925</v>
      </c>
      <c r="F28" s="192">
        <v>0.2848</v>
      </c>
      <c r="G28" s="192">
        <v>0.2772</v>
      </c>
      <c r="H28" s="192">
        <v>0.2695</v>
      </c>
      <c r="I28" s="193">
        <v>0.0552</v>
      </c>
      <c r="J28" s="193">
        <v>0.0568</v>
      </c>
      <c r="K28" s="193">
        <v>0.0585</v>
      </c>
      <c r="L28" s="193">
        <v>0.0601</v>
      </c>
      <c r="M28" s="193">
        <v>0.0617</v>
      </c>
      <c r="N28" s="193">
        <v>0.0634</v>
      </c>
      <c r="O28" s="193">
        <v>0.065</v>
      </c>
      <c r="P28" s="187"/>
      <c r="Q28" s="191" t="s">
        <v>132</v>
      </c>
      <c r="R28" s="192">
        <v>0.3154</v>
      </c>
      <c r="S28" s="192">
        <v>0.303</v>
      </c>
      <c r="T28" s="192">
        <v>0.2905</v>
      </c>
      <c r="U28" s="192">
        <v>0.2781</v>
      </c>
      <c r="V28" s="192">
        <v>0.2656</v>
      </c>
      <c r="W28" s="192">
        <v>0.2532</v>
      </c>
      <c r="X28" s="192">
        <v>0.2407</v>
      </c>
      <c r="Y28" s="193">
        <v>0.0552</v>
      </c>
      <c r="Z28" s="193">
        <v>0.056</v>
      </c>
      <c r="AA28" s="193">
        <v>0.0568</v>
      </c>
      <c r="AB28" s="193">
        <v>0.0576</v>
      </c>
      <c r="AC28" s="193">
        <v>0.0584</v>
      </c>
      <c r="AD28" s="193">
        <v>0.0592</v>
      </c>
      <c r="AE28" s="193">
        <v>0.06</v>
      </c>
    </row>
    <row r="29" s="180" customFormat="1" ht="14.25" customHeight="1" spans="1:31">
      <c r="A29" s="191" t="s">
        <v>133</v>
      </c>
      <c r="B29" s="192">
        <v>0.401</v>
      </c>
      <c r="C29" s="192">
        <v>0.3836</v>
      </c>
      <c r="D29" s="192">
        <v>0.3661</v>
      </c>
      <c r="E29" s="192">
        <v>0.3487</v>
      </c>
      <c r="F29" s="192">
        <v>0.3313</v>
      </c>
      <c r="G29" s="192">
        <v>0.3138</v>
      </c>
      <c r="H29" s="192">
        <v>0.2964</v>
      </c>
      <c r="I29" s="193">
        <v>0.0068</v>
      </c>
      <c r="J29" s="193">
        <v>0.0173</v>
      </c>
      <c r="K29" s="193">
        <v>0.0279</v>
      </c>
      <c r="L29" s="193">
        <v>0.0384</v>
      </c>
      <c r="M29" s="193">
        <v>0.0489</v>
      </c>
      <c r="N29" s="193">
        <v>0.0595</v>
      </c>
      <c r="O29" s="193">
        <v>0.07</v>
      </c>
      <c r="P29" s="187"/>
      <c r="Q29" s="191" t="s">
        <v>133</v>
      </c>
      <c r="R29" s="192">
        <v>0.401</v>
      </c>
      <c r="S29" s="192">
        <v>0.3671</v>
      </c>
      <c r="T29" s="192">
        <v>0.3332</v>
      </c>
      <c r="U29" s="192">
        <v>0.2993</v>
      </c>
      <c r="V29" s="192">
        <v>0.2654</v>
      </c>
      <c r="W29" s="192">
        <v>0.2315</v>
      </c>
      <c r="X29" s="192">
        <v>0.1976</v>
      </c>
      <c r="Y29" s="193">
        <v>0.0068</v>
      </c>
      <c r="Z29" s="193">
        <v>0.0157</v>
      </c>
      <c r="AA29" s="193">
        <v>0.0245</v>
      </c>
      <c r="AB29" s="193">
        <v>0.0334</v>
      </c>
      <c r="AC29" s="193">
        <v>0.0423</v>
      </c>
      <c r="AD29" s="193">
        <v>0.0511</v>
      </c>
      <c r="AE29" s="193">
        <v>0.06</v>
      </c>
    </row>
    <row r="30" s="180" customFormat="1" ht="14.25" customHeight="1" spans="1:31">
      <c r="A30" s="191" t="s">
        <v>134</v>
      </c>
      <c r="B30" s="192">
        <v>0.2394</v>
      </c>
      <c r="C30" s="192">
        <v>0.2394</v>
      </c>
      <c r="D30" s="192">
        <v>0.2394</v>
      </c>
      <c r="E30" s="192">
        <v>0.2394</v>
      </c>
      <c r="F30" s="192">
        <v>0.2394</v>
      </c>
      <c r="G30" s="192">
        <v>0.2394</v>
      </c>
      <c r="H30" s="192">
        <v>0.2394</v>
      </c>
      <c r="I30" s="193">
        <v>0.0392</v>
      </c>
      <c r="J30" s="193">
        <v>0.046</v>
      </c>
      <c r="K30" s="193">
        <v>0.0528</v>
      </c>
      <c r="L30" s="193">
        <v>0.0596</v>
      </c>
      <c r="M30" s="193">
        <v>0.0664</v>
      </c>
      <c r="N30" s="193">
        <v>0.0732</v>
      </c>
      <c r="O30" s="193">
        <v>0.08</v>
      </c>
      <c r="P30" s="187"/>
      <c r="Q30" s="191" t="s">
        <v>134</v>
      </c>
      <c r="R30" s="192">
        <v>0.2394</v>
      </c>
      <c r="S30" s="192">
        <v>0.2387</v>
      </c>
      <c r="T30" s="192">
        <v>0.238</v>
      </c>
      <c r="U30" s="192">
        <v>0.2373</v>
      </c>
      <c r="V30" s="192">
        <v>0.2365</v>
      </c>
      <c r="W30" s="192">
        <v>0.2358</v>
      </c>
      <c r="X30" s="192">
        <v>0.2351</v>
      </c>
      <c r="Y30" s="193">
        <v>0.0392</v>
      </c>
      <c r="Z30" s="193">
        <v>0.0427</v>
      </c>
      <c r="AA30" s="193">
        <v>0.0461</v>
      </c>
      <c r="AB30" s="193">
        <v>0.0496</v>
      </c>
      <c r="AC30" s="193">
        <v>0.0531</v>
      </c>
      <c r="AD30" s="193">
        <v>0.0565</v>
      </c>
      <c r="AE30" s="193">
        <v>0.06</v>
      </c>
    </row>
    <row r="31" s="180" customFormat="1" ht="14.25" customHeight="1" spans="1:31">
      <c r="A31" s="191" t="s">
        <v>135</v>
      </c>
      <c r="B31" s="192">
        <v>0.341</v>
      </c>
      <c r="C31" s="192">
        <v>0.341</v>
      </c>
      <c r="D31" s="192">
        <v>0.341</v>
      </c>
      <c r="E31" s="192">
        <v>0.341</v>
      </c>
      <c r="F31" s="192">
        <v>0.341</v>
      </c>
      <c r="G31" s="192">
        <v>0.341</v>
      </c>
      <c r="H31" s="192">
        <v>0.341</v>
      </c>
      <c r="I31" s="193">
        <v>0.3421</v>
      </c>
      <c r="J31" s="193">
        <v>0.3618</v>
      </c>
      <c r="K31" s="193">
        <v>0.3814</v>
      </c>
      <c r="L31" s="193">
        <v>0.4011</v>
      </c>
      <c r="M31" s="193">
        <v>0.4207</v>
      </c>
      <c r="N31" s="193">
        <v>0.4404</v>
      </c>
      <c r="O31" s="193">
        <v>0.46</v>
      </c>
      <c r="P31" s="187"/>
      <c r="Q31" s="191" t="s">
        <v>135</v>
      </c>
      <c r="R31" s="192">
        <v>0.341</v>
      </c>
      <c r="S31" s="192">
        <v>0.25</v>
      </c>
      <c r="T31" s="192">
        <v>0.25</v>
      </c>
      <c r="U31" s="192">
        <v>0.25</v>
      </c>
      <c r="V31" s="192">
        <v>0.25</v>
      </c>
      <c r="W31" s="192">
        <v>0.25</v>
      </c>
      <c r="X31" s="192">
        <v>0.25</v>
      </c>
      <c r="Y31" s="193">
        <v>0.3421</v>
      </c>
      <c r="Z31" s="193">
        <v>0.3551</v>
      </c>
      <c r="AA31" s="193">
        <v>0.3681</v>
      </c>
      <c r="AB31" s="193">
        <v>0.3811</v>
      </c>
      <c r="AC31" s="193">
        <v>0.394</v>
      </c>
      <c r="AD31" s="193">
        <v>0.407</v>
      </c>
      <c r="AE31" s="193">
        <v>0.42</v>
      </c>
    </row>
    <row r="32" s="180" customFormat="1" ht="14.25" customHeight="1" spans="1:31">
      <c r="A32" s="191" t="s">
        <v>136</v>
      </c>
      <c r="B32" s="192">
        <v>0.31</v>
      </c>
      <c r="C32" s="192">
        <v>0.3071</v>
      </c>
      <c r="D32" s="192">
        <v>0.3041</v>
      </c>
      <c r="E32" s="192">
        <v>0.3012</v>
      </c>
      <c r="F32" s="192">
        <v>0.2982</v>
      </c>
      <c r="G32" s="192">
        <v>0.2953</v>
      </c>
      <c r="H32" s="192">
        <v>0.2923</v>
      </c>
      <c r="I32" s="193">
        <v>0.0668</v>
      </c>
      <c r="J32" s="193">
        <v>0.0823</v>
      </c>
      <c r="K32" s="193">
        <v>0.0979</v>
      </c>
      <c r="L32" s="193">
        <v>0.1134</v>
      </c>
      <c r="M32" s="193">
        <v>0.1289</v>
      </c>
      <c r="N32" s="193">
        <v>0.1445</v>
      </c>
      <c r="O32" s="193">
        <v>0.16</v>
      </c>
      <c r="P32" s="187"/>
      <c r="Q32" s="191" t="s">
        <v>136</v>
      </c>
      <c r="R32" s="192">
        <v>0.31</v>
      </c>
      <c r="S32" s="192">
        <v>0.2765</v>
      </c>
      <c r="T32" s="192">
        <v>0.243</v>
      </c>
      <c r="U32" s="192">
        <v>0.2095</v>
      </c>
      <c r="V32" s="192">
        <v>0.1759</v>
      </c>
      <c r="W32" s="192">
        <v>0.1424</v>
      </c>
      <c r="X32" s="192">
        <v>0.1089</v>
      </c>
      <c r="Y32" s="193">
        <v>0.0668</v>
      </c>
      <c r="Z32" s="193">
        <v>0.0797</v>
      </c>
      <c r="AA32" s="193">
        <v>0.0925</v>
      </c>
      <c r="AB32" s="193">
        <v>0.1054</v>
      </c>
      <c r="AC32" s="193">
        <v>0.1183</v>
      </c>
      <c r="AD32" s="193">
        <v>0.1311</v>
      </c>
      <c r="AE32" s="193">
        <v>0.144</v>
      </c>
    </row>
    <row r="33" s="180" customFormat="1" ht="14.25" customHeight="1" spans="1:31">
      <c r="A33" s="191" t="s">
        <v>138</v>
      </c>
      <c r="B33" s="192">
        <v>0.265</v>
      </c>
      <c r="C33" s="192">
        <v>0.233</v>
      </c>
      <c r="D33" s="192">
        <v>0.233</v>
      </c>
      <c r="E33" s="192">
        <v>0.233</v>
      </c>
      <c r="F33" s="192">
        <v>0.233</v>
      </c>
      <c r="G33" s="192">
        <v>0.233</v>
      </c>
      <c r="H33" s="192">
        <v>0.233</v>
      </c>
      <c r="I33" s="193">
        <v>0.1874</v>
      </c>
      <c r="J33" s="193">
        <v>0.1928</v>
      </c>
      <c r="K33" s="193">
        <v>0.1983</v>
      </c>
      <c r="L33" s="193">
        <v>0.2037</v>
      </c>
      <c r="M33" s="193">
        <v>0.2091</v>
      </c>
      <c r="N33" s="193">
        <v>0.2146</v>
      </c>
      <c r="O33" s="193">
        <v>0.22</v>
      </c>
      <c r="P33" s="187"/>
      <c r="Q33" s="191" t="s">
        <v>138</v>
      </c>
      <c r="R33" s="192">
        <v>0.265</v>
      </c>
      <c r="S33" s="192">
        <v>0.2344</v>
      </c>
      <c r="T33" s="192">
        <v>0.2038</v>
      </c>
      <c r="U33" s="192">
        <v>0.1732</v>
      </c>
      <c r="V33" s="192">
        <v>0.1426</v>
      </c>
      <c r="W33" s="192">
        <v>0.112</v>
      </c>
      <c r="X33" s="192">
        <v>0.0814</v>
      </c>
      <c r="Y33" s="193">
        <v>0.1874</v>
      </c>
      <c r="Z33" s="193">
        <v>0.1862</v>
      </c>
      <c r="AA33" s="193">
        <v>0.1849</v>
      </c>
      <c r="AB33" s="193">
        <v>0.1837</v>
      </c>
      <c r="AC33" s="193">
        <v>0.1825</v>
      </c>
      <c r="AD33" s="193">
        <v>0.1812</v>
      </c>
      <c r="AE33" s="193">
        <v>0.18</v>
      </c>
    </row>
    <row r="34" s="180" customFormat="1" ht="14.25" customHeight="1" spans="1:31">
      <c r="A34" s="191" t="s">
        <v>139</v>
      </c>
      <c r="B34" s="192">
        <v>0.2325</v>
      </c>
      <c r="C34" s="192">
        <v>0.2317</v>
      </c>
      <c r="D34" s="192">
        <v>0.2309</v>
      </c>
      <c r="E34" s="192">
        <v>0.2301</v>
      </c>
      <c r="F34" s="192">
        <v>0.2293</v>
      </c>
      <c r="G34" s="192">
        <v>0.2285</v>
      </c>
      <c r="H34" s="192">
        <v>0.2277</v>
      </c>
      <c r="I34" s="193">
        <v>0.1872</v>
      </c>
      <c r="J34" s="193">
        <v>0.201</v>
      </c>
      <c r="K34" s="193">
        <v>0.2148</v>
      </c>
      <c r="L34" s="193">
        <v>0.2286</v>
      </c>
      <c r="M34" s="193">
        <v>0.2424</v>
      </c>
      <c r="N34" s="193">
        <v>0.2562</v>
      </c>
      <c r="O34" s="193">
        <v>0.27</v>
      </c>
      <c r="P34" s="187"/>
      <c r="Q34" s="191" t="s">
        <v>139</v>
      </c>
      <c r="R34" s="192">
        <v>0.2325</v>
      </c>
      <c r="S34" s="192">
        <v>0.2067</v>
      </c>
      <c r="T34" s="192">
        <v>0.181</v>
      </c>
      <c r="U34" s="192">
        <v>0.1552</v>
      </c>
      <c r="V34" s="192">
        <v>0.1294</v>
      </c>
      <c r="W34" s="192">
        <v>0.1037</v>
      </c>
      <c r="X34" s="192">
        <v>0.0779</v>
      </c>
      <c r="Y34" s="193">
        <v>0.1872</v>
      </c>
      <c r="Z34" s="193">
        <v>0.196</v>
      </c>
      <c r="AA34" s="193">
        <v>0.2048</v>
      </c>
      <c r="AB34" s="193">
        <v>0.2136</v>
      </c>
      <c r="AC34" s="193">
        <v>0.2224</v>
      </c>
      <c r="AD34" s="193">
        <v>0.2312</v>
      </c>
      <c r="AE34" s="193">
        <v>0.24</v>
      </c>
    </row>
    <row r="35" s="180" customFormat="1" ht="14.25" customHeight="1" spans="1:31">
      <c r="A35" s="191" t="s">
        <v>140</v>
      </c>
      <c r="B35" s="192">
        <v>0.1844</v>
      </c>
      <c r="C35" s="192">
        <v>0.1844</v>
      </c>
      <c r="D35" s="192">
        <v>0.1844</v>
      </c>
      <c r="E35" s="192">
        <v>0.1844</v>
      </c>
      <c r="F35" s="192">
        <v>0.1844</v>
      </c>
      <c r="G35" s="192">
        <v>0.1844</v>
      </c>
      <c r="H35" s="192">
        <v>0.1844</v>
      </c>
      <c r="I35" s="193">
        <v>0.0503</v>
      </c>
      <c r="J35" s="193">
        <v>0.0678</v>
      </c>
      <c r="K35" s="193">
        <v>0.0852</v>
      </c>
      <c r="L35" s="193">
        <v>0.1027</v>
      </c>
      <c r="M35" s="193">
        <v>0.1201</v>
      </c>
      <c r="N35" s="193">
        <v>0.1376</v>
      </c>
      <c r="O35" s="193">
        <v>0.155</v>
      </c>
      <c r="P35" s="187"/>
      <c r="Q35" s="191" t="s">
        <v>140</v>
      </c>
      <c r="R35" s="192">
        <v>0.1844</v>
      </c>
      <c r="S35" s="192">
        <v>0.174</v>
      </c>
      <c r="T35" s="192">
        <v>0.1636</v>
      </c>
      <c r="U35" s="192">
        <v>0.1532</v>
      </c>
      <c r="V35" s="192">
        <v>0.1428</v>
      </c>
      <c r="W35" s="192">
        <v>0.1324</v>
      </c>
      <c r="X35" s="192">
        <v>0.122</v>
      </c>
      <c r="Y35" s="193">
        <v>0.0503</v>
      </c>
      <c r="Z35" s="193">
        <v>0.0619</v>
      </c>
      <c r="AA35" s="193">
        <v>0.0735</v>
      </c>
      <c r="AB35" s="193">
        <v>0.0852</v>
      </c>
      <c r="AC35" s="193">
        <v>0.0968</v>
      </c>
      <c r="AD35" s="193">
        <v>0.1084</v>
      </c>
      <c r="AE35" s="193">
        <v>0.12</v>
      </c>
    </row>
    <row r="36" s="180" customFormat="1" ht="14.25" customHeight="1" spans="1:31">
      <c r="A36" s="191" t="s">
        <v>141</v>
      </c>
      <c r="B36" s="192">
        <v>0.1681</v>
      </c>
      <c r="C36" s="192">
        <v>0.1681</v>
      </c>
      <c r="D36" s="192">
        <v>0.1681</v>
      </c>
      <c r="E36" s="192">
        <v>0.1681</v>
      </c>
      <c r="F36" s="192">
        <v>0.1681</v>
      </c>
      <c r="G36" s="192">
        <v>0.1681</v>
      </c>
      <c r="H36" s="192">
        <v>0.1681</v>
      </c>
      <c r="I36" s="193">
        <v>0.2222</v>
      </c>
      <c r="J36" s="193">
        <v>0.2218</v>
      </c>
      <c r="K36" s="193">
        <v>0.2215</v>
      </c>
      <c r="L36" s="193">
        <v>0.2211</v>
      </c>
      <c r="M36" s="193">
        <v>0.2207</v>
      </c>
      <c r="N36" s="193">
        <v>0.2204</v>
      </c>
      <c r="O36" s="193">
        <v>0.22</v>
      </c>
      <c r="P36" s="187"/>
      <c r="Q36" s="191" t="s">
        <v>141</v>
      </c>
      <c r="R36" s="192">
        <v>0.1681</v>
      </c>
      <c r="S36" s="192">
        <v>0.1555</v>
      </c>
      <c r="T36" s="192">
        <v>0.1429</v>
      </c>
      <c r="U36" s="192">
        <v>0.1303</v>
      </c>
      <c r="V36" s="192">
        <v>0.1177</v>
      </c>
      <c r="W36" s="192">
        <v>0.1051</v>
      </c>
      <c r="X36" s="192">
        <v>0.0925</v>
      </c>
      <c r="Y36" s="193">
        <v>0.2222</v>
      </c>
      <c r="Z36" s="193">
        <v>0.2152</v>
      </c>
      <c r="AA36" s="193">
        <v>0.2081</v>
      </c>
      <c r="AB36" s="193">
        <v>0.2011</v>
      </c>
      <c r="AC36" s="193">
        <v>0.1941</v>
      </c>
      <c r="AD36" s="193">
        <v>0.187</v>
      </c>
      <c r="AE36" s="193">
        <v>0.18</v>
      </c>
    </row>
  </sheetData>
  <mergeCells count="8">
    <mergeCell ref="A1:O1"/>
    <mergeCell ref="Q1:AE1"/>
    <mergeCell ref="B2:H2"/>
    <mergeCell ref="I2:O2"/>
    <mergeCell ref="R2:X2"/>
    <mergeCell ref="Y2:AE2"/>
    <mergeCell ref="A2:A3"/>
    <mergeCell ref="Q2:Q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A41"/>
  <sheetViews>
    <sheetView workbookViewId="0">
      <selection activeCell="A1" sqref="A1:B1"/>
    </sheetView>
  </sheetViews>
  <sheetFormatPr defaultColWidth="8.83333333333333" defaultRowHeight="13.5"/>
  <cols>
    <col min="1" max="1" width="32.8333333333333" customWidth="1"/>
    <col min="2" max="2" width="18.8333333333333" style="3" customWidth="1"/>
    <col min="3" max="5" width="11.8333333333333" customWidth="1"/>
    <col min="6" max="6" width="11.8333333333333" style="3" customWidth="1"/>
    <col min="7" max="9" width="11.8333333333333" customWidth="1"/>
    <col min="10" max="10" width="11.8333333333333" style="3" customWidth="1"/>
    <col min="11" max="14" width="11.8333333333333" customWidth="1"/>
    <col min="15" max="18" width="11.8333333333333" style="3" customWidth="1"/>
    <col min="19" max="19" width="11.8333333333333" customWidth="1"/>
    <col min="20" max="22" width="11.8333333333333" style="3" customWidth="1"/>
    <col min="23" max="27" width="11.8333333333333" customWidth="1"/>
  </cols>
  <sheetData>
    <row r="1" ht="15" customHeight="1" spans="1:27">
      <c r="A1" s="114" t="s">
        <v>267</v>
      </c>
      <c r="B1" s="155"/>
      <c r="C1" s="170" t="s">
        <v>268</v>
      </c>
      <c r="D1" s="170"/>
      <c r="E1" s="170"/>
      <c r="F1" s="171"/>
      <c r="G1" s="170"/>
      <c r="H1" s="170"/>
      <c r="I1" s="170"/>
      <c r="J1" s="171"/>
      <c r="K1" s="170"/>
      <c r="L1" s="170"/>
      <c r="M1" s="170"/>
      <c r="N1" s="170"/>
      <c r="O1" s="172"/>
      <c r="P1" s="172"/>
      <c r="Q1" s="172"/>
      <c r="R1" s="172"/>
      <c r="T1" s="77"/>
      <c r="U1" s="77"/>
      <c r="V1" s="77"/>
      <c r="W1" s="76"/>
      <c r="X1" s="76"/>
      <c r="Y1" s="76"/>
      <c r="Z1" s="76"/>
      <c r="AA1" s="76"/>
    </row>
    <row r="2" ht="15" customHeight="1" spans="1:27">
      <c r="A2" s="117" t="s">
        <v>269</v>
      </c>
      <c r="B2" s="131">
        <f>B3+B4</f>
        <v>26</v>
      </c>
      <c r="C2" s="117" t="str">
        <f>财务指标一览表!B3</f>
        <v>投资回收期（税前）</v>
      </c>
      <c r="D2" s="173"/>
      <c r="E2" s="122" t="s">
        <v>270</v>
      </c>
      <c r="F2" s="146" t="e">
        <f>财务指标一览表!D3</f>
        <v>#N/A</v>
      </c>
      <c r="G2" s="117" t="str">
        <f>财务指标一览表!B11</f>
        <v>总投资收益率（ROI）</v>
      </c>
      <c r="H2" s="173"/>
      <c r="I2" s="122" t="s">
        <v>86</v>
      </c>
      <c r="J2" s="146" t="e">
        <f>财务指标一览表!D11</f>
        <v>#VALUE!</v>
      </c>
      <c r="K2" s="117" t="str">
        <f>财务指标一览表!B15</f>
        <v>盈亏平衡点（生产能力利用率）</v>
      </c>
      <c r="L2" s="173"/>
      <c r="M2" s="122" t="s">
        <v>86</v>
      </c>
      <c r="N2" s="174" t="e">
        <f>财务指标一览表!D15</f>
        <v>#REF!</v>
      </c>
      <c r="O2" s="77"/>
      <c r="P2" s="77"/>
      <c r="Q2" s="175"/>
      <c r="R2" s="77"/>
      <c r="T2" s="77"/>
      <c r="U2" s="77"/>
      <c r="V2" s="77"/>
      <c r="W2" s="76"/>
      <c r="X2" s="76"/>
      <c r="Y2" s="76"/>
      <c r="Z2" s="76"/>
      <c r="AA2" s="76"/>
    </row>
    <row r="3" ht="15" customHeight="1" spans="1:27">
      <c r="A3" s="117" t="s">
        <v>271</v>
      </c>
      <c r="B3" s="131">
        <v>1</v>
      </c>
      <c r="C3" s="117" t="str">
        <f>财务指标一览表!B4</f>
        <v>投资回收期（税后）</v>
      </c>
      <c r="D3" s="173"/>
      <c r="E3" s="122" t="s">
        <v>270</v>
      </c>
      <c r="F3" s="146" t="e">
        <f>财务指标一览表!D4</f>
        <v>#N/A</v>
      </c>
      <c r="G3" s="117" t="str">
        <f>财务指标一览表!B12</f>
        <v>投资利税率</v>
      </c>
      <c r="H3" s="173"/>
      <c r="I3" s="122" t="s">
        <v>86</v>
      </c>
      <c r="J3" s="146" t="e">
        <f>财务指标一览表!D12</f>
        <v>#VALUE!</v>
      </c>
      <c r="K3" s="117" t="str">
        <f>财务指标一览表!B17</f>
        <v>度电投资</v>
      </c>
      <c r="L3" s="173"/>
      <c r="M3" s="122" t="s">
        <v>272</v>
      </c>
      <c r="N3" s="174" t="e">
        <f>财务指标一览表!D17</f>
        <v>#DIV/0!</v>
      </c>
      <c r="O3" s="77"/>
      <c r="P3" s="77"/>
      <c r="Q3" s="175"/>
      <c r="R3" s="77"/>
      <c r="T3" s="77"/>
      <c r="U3" s="77"/>
      <c r="V3" s="77"/>
      <c r="W3" s="76"/>
      <c r="X3" s="76"/>
      <c r="Y3" s="76"/>
      <c r="Z3" s="76"/>
      <c r="AA3" s="76"/>
    </row>
    <row r="4" ht="15" customHeight="1" spans="1:27">
      <c r="A4" s="117" t="s">
        <v>273</v>
      </c>
      <c r="B4" s="131">
        <v>25</v>
      </c>
      <c r="C4" s="117" t="str">
        <f>财务指标一览表!B5</f>
        <v>全投资内部收益率（税前）</v>
      </c>
      <c r="D4" s="173"/>
      <c r="E4" s="122" t="s">
        <v>86</v>
      </c>
      <c r="F4" s="146" t="e">
        <f>财务指标一览表!D5</f>
        <v>#VALUE!</v>
      </c>
      <c r="G4" s="117" t="str">
        <f>财务指标一览表!B13</f>
        <v>资本金净利润率（ROE）</v>
      </c>
      <c r="H4" s="173"/>
      <c r="I4" s="122" t="s">
        <v>86</v>
      </c>
      <c r="J4" s="146" t="e">
        <f>财务指标一览表!D13</f>
        <v>#VALUE!</v>
      </c>
      <c r="K4" s="117" t="str">
        <f>财务指标一览表!B18</f>
        <v>度电利润</v>
      </c>
      <c r="L4" s="173"/>
      <c r="M4" s="122" t="s">
        <v>272</v>
      </c>
      <c r="N4" s="174" t="e">
        <f>财务指标一览表!D18</f>
        <v>#VALUE!</v>
      </c>
      <c r="O4" s="77"/>
      <c r="P4" s="77"/>
      <c r="Q4" s="175"/>
      <c r="R4" s="77"/>
      <c r="T4" s="77"/>
      <c r="U4" s="77"/>
      <c r="V4" s="77"/>
      <c r="W4" s="76"/>
      <c r="X4" s="76"/>
      <c r="Y4" s="76"/>
      <c r="Z4" s="76"/>
      <c r="AA4" s="76"/>
    </row>
    <row r="5" ht="15" customHeight="1" spans="1:27">
      <c r="A5" s="117" t="s">
        <v>274</v>
      </c>
      <c r="B5" s="146" t="s">
        <v>275</v>
      </c>
      <c r="C5" s="117" t="str">
        <f>财务指标一览表!B6</f>
        <v>全投资内部收益率（税后）</v>
      </c>
      <c r="D5" s="173"/>
      <c r="E5" s="122" t="s">
        <v>86</v>
      </c>
      <c r="F5" s="146" t="e">
        <f>财务指标一览表!D6</f>
        <v>#VALUE!</v>
      </c>
      <c r="G5" s="117" t="str">
        <f>财务指标一览表!B14</f>
        <v>资产负债率（最大值）</v>
      </c>
      <c r="H5" s="173"/>
      <c r="I5" s="122" t="s">
        <v>86</v>
      </c>
      <c r="J5" s="146" t="e">
        <f ca="1">财务指标一览表!D14</f>
        <v>#DIV/0!</v>
      </c>
      <c r="K5" s="117" t="str">
        <f>财务指标一览表!B19</f>
        <v>平准化度电成本（LCOE）</v>
      </c>
      <c r="L5" s="173"/>
      <c r="M5" s="122" t="s">
        <v>272</v>
      </c>
      <c r="N5" s="174" t="e">
        <f>财务指标一览表!D19</f>
        <v>#VALUE!</v>
      </c>
      <c r="O5" s="77"/>
      <c r="P5" s="77"/>
      <c r="Q5" s="175"/>
      <c r="R5" s="77"/>
      <c r="T5" s="77"/>
      <c r="U5" s="77"/>
      <c r="V5" s="77"/>
      <c r="W5" s="76"/>
      <c r="X5" s="76"/>
      <c r="Y5" s="76"/>
      <c r="Z5" s="76"/>
      <c r="AA5" s="76"/>
    </row>
    <row r="6" ht="15" customHeight="1" spans="1:27">
      <c r="A6" s="117" t="s">
        <v>276</v>
      </c>
      <c r="B6" s="131">
        <f>基本信息!D4</f>
        <v>0</v>
      </c>
      <c r="C6" s="117" t="str">
        <f>财务指标一览表!B7</f>
        <v>全投资净现值（税前）</v>
      </c>
      <c r="D6" s="173"/>
      <c r="E6" s="122" t="s">
        <v>24</v>
      </c>
      <c r="F6" s="146" t="e">
        <f>财务指标一览表!D7</f>
        <v>#VALUE!</v>
      </c>
      <c r="G6" s="117" t="s">
        <v>277</v>
      </c>
      <c r="H6" s="117"/>
      <c r="I6" s="117"/>
      <c r="J6" s="157" t="s">
        <v>278</v>
      </c>
      <c r="K6" s="122" t="s">
        <v>279</v>
      </c>
      <c r="L6" s="122" t="s">
        <v>280</v>
      </c>
      <c r="M6" s="122" t="s">
        <v>281</v>
      </c>
      <c r="N6" s="122" t="s">
        <v>282</v>
      </c>
      <c r="O6" s="77"/>
      <c r="P6" s="77"/>
      <c r="Q6" s="175"/>
      <c r="R6" s="77"/>
      <c r="T6" s="77"/>
      <c r="U6" s="77"/>
      <c r="V6" s="77"/>
      <c r="W6" s="76"/>
      <c r="X6" s="76"/>
      <c r="Y6" s="76"/>
      <c r="Z6" s="76"/>
      <c r="AA6" s="76"/>
    </row>
    <row r="7" ht="15" customHeight="1" spans="1:27">
      <c r="A7" s="117" t="s">
        <v>283</v>
      </c>
      <c r="B7" s="131">
        <f>基本信息!D5</f>
        <v>0</v>
      </c>
      <c r="C7" s="117" t="str">
        <f>财务指标一览表!B8</f>
        <v>全投资净现值（税后）</v>
      </c>
      <c r="D7" s="173"/>
      <c r="E7" s="122" t="s">
        <v>24</v>
      </c>
      <c r="F7" s="146" t="e">
        <f>财务指标一览表!D8</f>
        <v>#VALUE!</v>
      </c>
      <c r="G7" s="176" t="s">
        <v>284</v>
      </c>
      <c r="H7" s="176"/>
      <c r="I7" s="122" t="s">
        <v>24</v>
      </c>
      <c r="J7" s="146" t="e">
        <f>财务指标一览表!D21</f>
        <v>#VALUE!</v>
      </c>
      <c r="K7" s="174" t="e">
        <f>财务指标一览表!E21</f>
        <v>#VALUE!</v>
      </c>
      <c r="L7" s="174" t="e">
        <f>财务指标一览表!F21</f>
        <v>#VALUE!</v>
      </c>
      <c r="M7" s="174" t="e">
        <f>财务指标一览表!G21</f>
        <v>#VALUE!</v>
      </c>
      <c r="N7" s="174" t="e">
        <f>财务指标一览表!H21</f>
        <v>#VALUE!</v>
      </c>
      <c r="O7" s="77"/>
      <c r="P7" s="77"/>
      <c r="Q7" s="175"/>
      <c r="R7" s="177"/>
      <c r="T7" s="77"/>
      <c r="U7" s="77"/>
      <c r="V7" s="77"/>
      <c r="W7" s="76"/>
      <c r="X7" s="76"/>
      <c r="Y7" s="76"/>
      <c r="Z7" s="76"/>
      <c r="AA7" s="76"/>
    </row>
    <row r="8" ht="15" customHeight="1" spans="1:27">
      <c r="A8" s="117" t="s">
        <v>285</v>
      </c>
      <c r="B8" s="131">
        <f>基本信息!D3</f>
        <v>0</v>
      </c>
      <c r="C8" s="117" t="str">
        <f>财务指标一览表!B9</f>
        <v>资本金内部收益率</v>
      </c>
      <c r="D8" s="173"/>
      <c r="E8" s="122" t="s">
        <v>86</v>
      </c>
      <c r="F8" s="146" t="e">
        <f>财务指标一览表!D9</f>
        <v>#VALUE!</v>
      </c>
      <c r="G8" s="176" t="s">
        <v>286</v>
      </c>
      <c r="H8" s="176"/>
      <c r="I8" s="122" t="s">
        <v>24</v>
      </c>
      <c r="J8" s="146" t="e">
        <f>财务指标一览表!D22</f>
        <v>#VALUE!</v>
      </c>
      <c r="K8" s="174" t="e">
        <f>财务指标一览表!E22</f>
        <v>#VALUE!</v>
      </c>
      <c r="L8" s="174" t="e">
        <f>财务指标一览表!F22</f>
        <v>#VALUE!</v>
      </c>
      <c r="M8" s="174" t="e">
        <f>财务指标一览表!G22</f>
        <v>#VALUE!</v>
      </c>
      <c r="N8" s="174" t="e">
        <f>财务指标一览表!H22</f>
        <v>#VALUE!</v>
      </c>
      <c r="O8" s="80"/>
      <c r="P8" s="77"/>
      <c r="Q8" s="77"/>
      <c r="R8" s="77"/>
      <c r="S8" s="77"/>
      <c r="T8" s="77"/>
      <c r="U8" s="77"/>
      <c r="V8" s="77"/>
      <c r="W8" s="76"/>
      <c r="X8" s="76"/>
      <c r="Y8" s="76"/>
      <c r="Z8" s="76"/>
      <c r="AA8" s="76"/>
    </row>
    <row r="9" ht="15" customHeight="1" spans="1:27">
      <c r="A9" s="117" t="s">
        <v>287</v>
      </c>
      <c r="B9" s="70">
        <v>12</v>
      </c>
      <c r="C9" s="117" t="str">
        <f>财务指标一览表!B10</f>
        <v>资本金财务净现值</v>
      </c>
      <c r="D9" s="173"/>
      <c r="E9" s="122" t="s">
        <v>24</v>
      </c>
      <c r="F9" s="146" t="e">
        <f>财务指标一览表!D10</f>
        <v>#VALUE!</v>
      </c>
      <c r="G9" s="176" t="s">
        <v>288</v>
      </c>
      <c r="H9" s="176"/>
      <c r="I9" s="122" t="s">
        <v>86</v>
      </c>
      <c r="J9" s="146" t="e">
        <f>财务指标一览表!D23</f>
        <v>#VALUE!</v>
      </c>
      <c r="K9" s="174" t="e">
        <f>财务指标一览表!E23</f>
        <v>#VALUE!</v>
      </c>
      <c r="L9" s="174" t="e">
        <f>财务指标一览表!F23</f>
        <v>#VALUE!</v>
      </c>
      <c r="M9" s="174" t="e">
        <f>财务指标一览表!G23</f>
        <v>#VALUE!</v>
      </c>
      <c r="N9" s="174" t="e">
        <f>财务指标一览表!H23</f>
        <v>#VALUE!</v>
      </c>
      <c r="O9" s="80"/>
      <c r="P9" s="77"/>
      <c r="Q9" s="77"/>
      <c r="R9" s="77"/>
      <c r="S9" s="77"/>
      <c r="T9" s="77"/>
      <c r="U9" s="77"/>
      <c r="V9" s="77"/>
      <c r="W9" s="76"/>
      <c r="X9" s="76"/>
      <c r="Y9" s="76"/>
      <c r="Z9" s="76"/>
      <c r="AA9" s="76"/>
    </row>
    <row r="10" ht="15" customHeight="1" spans="1:27">
      <c r="A10" s="117" t="s">
        <v>289</v>
      </c>
      <c r="B10" s="70">
        <v>12</v>
      </c>
      <c r="C10" s="170" t="s">
        <v>290</v>
      </c>
      <c r="D10" s="170"/>
      <c r="E10" s="170"/>
      <c r="F10" s="171"/>
      <c r="G10" s="170"/>
      <c r="H10" s="170"/>
      <c r="I10" s="170"/>
      <c r="J10" s="171"/>
      <c r="K10" s="170"/>
      <c r="L10" s="170"/>
      <c r="M10" s="170"/>
      <c r="N10" s="170"/>
      <c r="O10" s="80"/>
      <c r="P10" s="77"/>
      <c r="Q10" s="77"/>
      <c r="R10" s="77"/>
      <c r="S10" s="77"/>
      <c r="T10" s="77"/>
      <c r="U10" s="77"/>
      <c r="V10" s="77"/>
      <c r="W10" s="76"/>
      <c r="X10" s="76"/>
      <c r="Y10" s="76"/>
      <c r="Z10" s="76"/>
      <c r="AA10" s="76"/>
    </row>
    <row r="11" ht="15" customHeight="1" spans="1:27">
      <c r="A11" s="114" t="s">
        <v>291</v>
      </c>
      <c r="B11" s="155"/>
      <c r="C11" s="122" t="s">
        <v>292</v>
      </c>
      <c r="D11" s="157"/>
      <c r="E11" s="122" t="s">
        <v>24</v>
      </c>
      <c r="F11" s="146">
        <f>投资计划与资金筹措表!C5</f>
        <v>0</v>
      </c>
      <c r="G11" s="122" t="s">
        <v>293</v>
      </c>
      <c r="H11" s="157"/>
      <c r="I11" s="122" t="s">
        <v>24</v>
      </c>
      <c r="J11" s="146">
        <f>B12+B20</f>
        <v>0</v>
      </c>
      <c r="K11" s="122" t="s">
        <v>294</v>
      </c>
      <c r="L11" s="157"/>
      <c r="M11" s="122" t="s">
        <v>272</v>
      </c>
      <c r="N11" s="174" t="e">
        <f>J11/B7*10</f>
        <v>#DIV/0!</v>
      </c>
      <c r="O11" s="80"/>
      <c r="P11" s="77"/>
      <c r="Q11" s="77"/>
      <c r="R11" s="77"/>
      <c r="S11" s="77"/>
      <c r="T11" s="77"/>
      <c r="U11" s="77"/>
      <c r="V11" s="77"/>
      <c r="W11" s="76"/>
      <c r="X11" s="76"/>
      <c r="Y11" s="76"/>
      <c r="Z11" s="76"/>
      <c r="AA11" s="76"/>
    </row>
    <row r="12" ht="15" customHeight="1" spans="1:27">
      <c r="A12" s="117" t="s">
        <v>23</v>
      </c>
      <c r="B12" s="131">
        <f>基本信息!D6</f>
        <v>0</v>
      </c>
      <c r="C12" s="122" t="s">
        <v>295</v>
      </c>
      <c r="D12" s="157"/>
      <c r="E12" s="122" t="s">
        <v>32</v>
      </c>
      <c r="F12" s="146">
        <f>收入和税金!C3*SUM(收入和税金!D5:AB5)/100/B4</f>
        <v>0</v>
      </c>
      <c r="G12" s="122" t="s">
        <v>296</v>
      </c>
      <c r="H12" s="157"/>
      <c r="I12" s="122" t="s">
        <v>86</v>
      </c>
      <c r="J12" s="146" t="e">
        <f>SUM(收入和税金!D7:AB7)/B4</f>
        <v>#VALUE!</v>
      </c>
      <c r="K12" s="122" t="s">
        <v>297</v>
      </c>
      <c r="L12" s="157"/>
      <c r="M12" s="122" t="s">
        <v>272</v>
      </c>
      <c r="N12" s="174" t="e">
        <f>SUM(电价电量计算表!D13:AB13)/B4</f>
        <v>#VALUE!</v>
      </c>
      <c r="O12" s="80"/>
      <c r="P12" s="77"/>
      <c r="Q12" s="77"/>
      <c r="R12" s="77"/>
      <c r="S12" s="77"/>
      <c r="T12" s="77"/>
      <c r="U12" s="77"/>
      <c r="V12" s="77"/>
      <c r="W12" s="76"/>
      <c r="X12" s="76"/>
      <c r="Y12" s="76"/>
      <c r="Z12" s="76"/>
      <c r="AA12" s="76"/>
    </row>
    <row r="13" ht="15" customHeight="1" spans="1:27">
      <c r="A13" s="117" t="s">
        <v>298</v>
      </c>
      <c r="B13" s="37">
        <v>0</v>
      </c>
      <c r="C13" s="76"/>
      <c r="D13" s="76"/>
      <c r="E13" s="76"/>
      <c r="F13" s="80"/>
      <c r="G13" s="76"/>
      <c r="H13" s="76"/>
      <c r="I13" s="76"/>
      <c r="J13" s="80"/>
      <c r="K13" s="76"/>
      <c r="L13" s="76"/>
      <c r="M13" s="76"/>
      <c r="N13" s="76"/>
      <c r="O13" s="80"/>
      <c r="P13" s="77"/>
      <c r="Q13" s="77"/>
      <c r="R13" s="77"/>
      <c r="S13" s="77"/>
      <c r="T13" s="77"/>
      <c r="U13" s="77"/>
      <c r="V13" s="77"/>
      <c r="W13" s="76"/>
      <c r="X13" s="76"/>
      <c r="Y13" s="76"/>
      <c r="Z13" s="76"/>
      <c r="AA13" s="76"/>
    </row>
    <row r="14" ht="15" customHeight="1" spans="1:27">
      <c r="A14" s="117" t="s">
        <v>299</v>
      </c>
      <c r="B14" s="37">
        <v>0</v>
      </c>
      <c r="C14" s="76"/>
      <c r="D14" s="76"/>
      <c r="E14" s="76"/>
      <c r="F14" s="80"/>
      <c r="G14" s="76"/>
      <c r="H14" s="76"/>
      <c r="I14" s="76"/>
      <c r="J14" s="80"/>
      <c r="K14" s="76"/>
      <c r="L14" s="76"/>
      <c r="M14" s="76"/>
      <c r="N14" s="76"/>
      <c r="O14" s="80"/>
      <c r="P14" s="77"/>
      <c r="Q14" s="77"/>
      <c r="R14" s="77"/>
      <c r="S14" s="77"/>
      <c r="T14" s="77"/>
      <c r="U14" s="77"/>
      <c r="V14" s="77"/>
      <c r="W14" s="76"/>
      <c r="X14" s="76"/>
      <c r="Y14" s="76"/>
      <c r="Z14" s="76"/>
      <c r="AA14" s="76"/>
    </row>
    <row r="15" ht="15" customHeight="1" spans="1:27">
      <c r="A15" s="117" t="s">
        <v>300</v>
      </c>
      <c r="B15" s="131">
        <f>基本信息!D8</f>
        <v>0</v>
      </c>
      <c r="C15" s="76" t="s">
        <v>301</v>
      </c>
      <c r="D15" s="76"/>
      <c r="E15" s="76"/>
      <c r="F15" s="80"/>
      <c r="G15" s="76"/>
      <c r="H15" s="76"/>
      <c r="I15" s="76"/>
      <c r="J15" s="80"/>
      <c r="K15" s="76"/>
      <c r="L15" s="76"/>
      <c r="M15" s="76"/>
      <c r="N15" s="76"/>
      <c r="O15" s="80"/>
      <c r="P15" s="77"/>
      <c r="Q15" s="77"/>
      <c r="R15" s="77"/>
      <c r="S15" s="77"/>
      <c r="T15" s="77"/>
      <c r="U15" s="77"/>
      <c r="V15" s="77"/>
      <c r="W15" s="76"/>
      <c r="X15" s="76"/>
      <c r="Y15" s="76"/>
      <c r="Z15" s="76"/>
      <c r="AA15" s="76"/>
    </row>
    <row r="16" ht="15" customHeight="1" spans="1:27">
      <c r="A16" s="117" t="s">
        <v>302</v>
      </c>
      <c r="B16" s="39" t="s">
        <v>30</v>
      </c>
      <c r="C16" s="76"/>
      <c r="D16" s="76"/>
      <c r="E16" s="76"/>
      <c r="F16" s="80"/>
      <c r="G16" s="76"/>
      <c r="H16" s="76"/>
      <c r="I16" s="76"/>
      <c r="J16" s="80"/>
      <c r="K16" s="76"/>
      <c r="L16" s="76"/>
      <c r="M16" s="76"/>
      <c r="N16" s="76"/>
      <c r="O16" s="80"/>
      <c r="P16" s="77"/>
      <c r="Q16" s="77"/>
      <c r="R16" s="77"/>
      <c r="S16" s="77"/>
      <c r="T16" s="77"/>
      <c r="U16" s="77"/>
      <c r="V16" s="77"/>
      <c r="W16" s="76"/>
      <c r="X16" s="76"/>
      <c r="Y16" s="76"/>
      <c r="Z16" s="76"/>
      <c r="AA16" s="76"/>
    </row>
    <row r="17" ht="15" customHeight="1" spans="1:27">
      <c r="A17" s="117" t="s">
        <v>303</v>
      </c>
      <c r="B17" s="178">
        <v>20</v>
      </c>
      <c r="C17" s="76"/>
      <c r="D17" s="76"/>
      <c r="E17" s="76"/>
      <c r="F17" s="80"/>
      <c r="G17" s="76"/>
      <c r="H17" s="76"/>
      <c r="I17" s="76"/>
      <c r="J17" s="80"/>
      <c r="K17" s="76"/>
      <c r="L17" s="76"/>
      <c r="M17" s="76"/>
      <c r="N17" s="76"/>
      <c r="O17" s="80"/>
      <c r="P17" s="77"/>
      <c r="Q17" s="77"/>
      <c r="R17" s="77"/>
      <c r="S17" s="77"/>
      <c r="T17" s="77"/>
      <c r="U17" s="77"/>
      <c r="V17" s="77"/>
      <c r="W17" s="76"/>
      <c r="X17" s="76"/>
      <c r="Y17" s="76"/>
      <c r="Z17" s="76"/>
      <c r="AA17" s="76"/>
    </row>
    <row r="18" ht="15" customHeight="1" spans="1:27">
      <c r="A18" s="117" t="s">
        <v>304</v>
      </c>
      <c r="B18" s="51" t="s">
        <v>305</v>
      </c>
      <c r="C18" s="77"/>
      <c r="D18" s="76"/>
      <c r="E18" s="76"/>
      <c r="F18" s="80"/>
      <c r="G18" s="76"/>
      <c r="H18" s="76"/>
      <c r="I18" s="76"/>
      <c r="J18" s="80"/>
      <c r="K18" s="76"/>
      <c r="L18" s="76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6"/>
      <c r="X18" s="76"/>
      <c r="Y18" s="76"/>
      <c r="Z18" s="76"/>
      <c r="AA18" s="76"/>
    </row>
    <row r="19" ht="15" customHeight="1" spans="1:27">
      <c r="A19" s="117" t="s">
        <v>306</v>
      </c>
      <c r="B19" s="146">
        <f>基本信息!D7</f>
        <v>0</v>
      </c>
      <c r="C19" s="77"/>
      <c r="D19" s="76"/>
      <c r="E19" s="76"/>
      <c r="F19" s="80"/>
      <c r="G19" s="76"/>
      <c r="H19" s="76"/>
      <c r="I19" s="76"/>
      <c r="J19" s="80"/>
      <c r="K19" s="76"/>
      <c r="L19" s="76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6"/>
      <c r="X19" s="76"/>
      <c r="Y19" s="76"/>
      <c r="Z19" s="76"/>
      <c r="AA19" s="76"/>
    </row>
    <row r="20" ht="15" customHeight="1" spans="1:27">
      <c r="A20" s="117" t="s">
        <v>307</v>
      </c>
      <c r="B20" s="146">
        <f>IF(B18="自动计算",B12*(1-B17%)*B9*B36%/(24+B36%*B17%*B9),B19)</f>
        <v>0</v>
      </c>
      <c r="C20" s="77"/>
      <c r="D20" s="76"/>
      <c r="E20" s="76"/>
      <c r="F20" s="80"/>
      <c r="G20" s="76"/>
      <c r="H20" s="76"/>
      <c r="I20" s="76"/>
      <c r="J20" s="80"/>
      <c r="K20" s="76"/>
      <c r="L20" s="76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6"/>
      <c r="X20" s="76"/>
      <c r="Y20" s="76"/>
      <c r="Z20" s="76"/>
      <c r="AA20" s="76"/>
    </row>
    <row r="21" ht="15" customHeight="1" spans="1:27">
      <c r="A21" s="114" t="s">
        <v>308</v>
      </c>
      <c r="B21" s="155"/>
      <c r="C21" s="77"/>
      <c r="D21" s="76"/>
      <c r="E21" s="76"/>
      <c r="F21" s="80"/>
      <c r="G21" s="76"/>
      <c r="H21" s="76"/>
      <c r="I21" s="76"/>
      <c r="J21" s="80"/>
      <c r="K21" s="76"/>
      <c r="L21" s="76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6"/>
      <c r="X21" s="76"/>
      <c r="Y21" s="76"/>
      <c r="Z21" s="76"/>
      <c r="AA21" s="76"/>
    </row>
    <row r="22" ht="15" customHeight="1" spans="1:27">
      <c r="A22" s="117" t="s">
        <v>309</v>
      </c>
      <c r="B22" s="70">
        <v>8</v>
      </c>
      <c r="C22" s="77"/>
      <c r="D22" s="76"/>
      <c r="E22" s="76"/>
      <c r="F22" s="80"/>
      <c r="G22" s="76"/>
      <c r="H22" s="76"/>
      <c r="I22" s="76"/>
      <c r="J22" s="80"/>
      <c r="K22" s="76"/>
      <c r="L22" s="76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6"/>
      <c r="X22" s="76"/>
      <c r="Y22" s="76"/>
      <c r="Z22" s="76"/>
      <c r="AA22" s="76"/>
    </row>
    <row r="23" ht="15" customHeight="1" spans="1:27">
      <c r="A23" s="117" t="s">
        <v>310</v>
      </c>
      <c r="B23" s="70">
        <v>8</v>
      </c>
      <c r="C23" s="77"/>
      <c r="D23" s="76"/>
      <c r="E23" s="76"/>
      <c r="F23" s="80"/>
      <c r="G23" s="76"/>
      <c r="H23" s="76"/>
      <c r="I23" s="76"/>
      <c r="J23" s="80"/>
      <c r="K23" s="76"/>
      <c r="L23" s="76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6"/>
      <c r="X23" s="76"/>
      <c r="Y23" s="76"/>
      <c r="Z23" s="76"/>
      <c r="AA23" s="76"/>
    </row>
    <row r="24" ht="15" customHeight="1" spans="1:27">
      <c r="A24" s="117" t="s">
        <v>311</v>
      </c>
      <c r="B24" s="70">
        <v>7</v>
      </c>
      <c r="C24" s="77"/>
      <c r="D24" s="76"/>
      <c r="E24" s="76"/>
      <c r="F24" s="80"/>
      <c r="G24" s="76"/>
      <c r="H24" s="76"/>
      <c r="I24" s="76"/>
      <c r="J24" s="80"/>
      <c r="K24" s="76"/>
      <c r="L24" s="76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6"/>
      <c r="X24" s="76"/>
      <c r="Y24" s="76"/>
      <c r="Z24" s="76"/>
      <c r="AA24" s="76"/>
    </row>
    <row r="25" ht="15" customHeight="1" spans="1:27">
      <c r="A25" s="117" t="s">
        <v>312</v>
      </c>
      <c r="B25" s="51">
        <v>3.29</v>
      </c>
      <c r="C25" s="179" t="s">
        <v>313</v>
      </c>
      <c r="D25" s="76"/>
      <c r="E25" s="76"/>
      <c r="F25" s="80"/>
      <c r="G25" s="76"/>
      <c r="H25" s="76"/>
      <c r="I25" s="76"/>
      <c r="J25" s="80"/>
      <c r="K25" s="76"/>
      <c r="L25" s="76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6"/>
      <c r="X25" s="76"/>
      <c r="Y25" s="76"/>
      <c r="Z25" s="76"/>
      <c r="AA25" s="76"/>
    </row>
    <row r="26" ht="15" customHeight="1" spans="1:27">
      <c r="A26" s="114" t="s">
        <v>314</v>
      </c>
      <c r="B26" s="155"/>
      <c r="C26" s="77"/>
      <c r="D26" s="76"/>
      <c r="E26" s="76"/>
      <c r="F26" s="80"/>
      <c r="G26" s="76"/>
      <c r="H26" s="76"/>
      <c r="I26" s="76"/>
      <c r="J26" s="80"/>
      <c r="K26" s="76"/>
      <c r="L26" s="76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6"/>
      <c r="X26" s="76"/>
      <c r="Y26" s="76"/>
      <c r="Z26" s="76"/>
      <c r="AA26" s="76"/>
    </row>
    <row r="27" ht="15" customHeight="1" spans="1:27">
      <c r="A27" s="117" t="s">
        <v>315</v>
      </c>
      <c r="B27" s="70">
        <v>30</v>
      </c>
      <c r="C27" s="77"/>
      <c r="D27" s="76"/>
      <c r="E27" s="76"/>
      <c r="F27" s="80"/>
      <c r="G27" s="76"/>
      <c r="H27" s="76"/>
      <c r="I27" s="76"/>
      <c r="J27" s="80"/>
      <c r="K27" s="76"/>
      <c r="L27" s="76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6"/>
      <c r="X27" s="76"/>
      <c r="Y27" s="76"/>
      <c r="Z27" s="76"/>
      <c r="AA27" s="76"/>
    </row>
    <row r="28" ht="15" customHeight="1" spans="1:27">
      <c r="A28" s="117" t="s">
        <v>316</v>
      </c>
      <c r="B28" s="70">
        <v>100</v>
      </c>
      <c r="C28" s="77"/>
      <c r="D28" s="76"/>
      <c r="E28" s="76"/>
      <c r="F28" s="80"/>
      <c r="G28" s="76"/>
      <c r="H28" s="76"/>
      <c r="I28" s="76"/>
      <c r="J28" s="80"/>
      <c r="K28" s="76"/>
      <c r="L28" s="76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6"/>
      <c r="X28" s="76"/>
      <c r="Y28" s="76"/>
      <c r="Z28" s="76"/>
      <c r="AA28" s="76"/>
    </row>
    <row r="29" ht="15" customHeight="1" spans="1:27">
      <c r="A29" s="117" t="s">
        <v>317</v>
      </c>
      <c r="B29" s="70">
        <f>B31</f>
        <v>3</v>
      </c>
      <c r="C29" s="77"/>
      <c r="D29" s="77"/>
      <c r="E29" s="76"/>
      <c r="F29" s="80"/>
      <c r="G29" s="76"/>
      <c r="H29" s="76"/>
      <c r="I29" s="76"/>
      <c r="J29" s="80"/>
      <c r="K29" s="76"/>
      <c r="L29" s="76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6"/>
      <c r="X29" s="76"/>
      <c r="Y29" s="76"/>
      <c r="Z29" s="76"/>
      <c r="AA29" s="76"/>
    </row>
    <row r="30" ht="15" customHeight="1" spans="1:27">
      <c r="A30" s="114" t="s">
        <v>318</v>
      </c>
      <c r="B30" s="155"/>
      <c r="C30" s="77"/>
      <c r="D30" s="77"/>
      <c r="E30" s="76"/>
      <c r="F30" s="80"/>
      <c r="G30" s="76"/>
      <c r="H30" s="76"/>
      <c r="I30" s="76"/>
      <c r="J30" s="80"/>
      <c r="K30" s="76"/>
      <c r="L30" s="76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6"/>
      <c r="X30" s="76"/>
      <c r="Y30" s="76"/>
      <c r="Z30" s="76"/>
      <c r="AA30" s="76"/>
    </row>
    <row r="31" ht="15" customHeight="1" spans="1:27">
      <c r="A31" s="117" t="s">
        <v>319</v>
      </c>
      <c r="B31" s="70">
        <v>3</v>
      </c>
      <c r="C31" s="179" t="s">
        <v>320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6"/>
      <c r="X31" s="76"/>
      <c r="Y31" s="76"/>
      <c r="Z31" s="76"/>
      <c r="AA31" s="76"/>
    </row>
    <row r="32" ht="15" customHeight="1" spans="1:27">
      <c r="A32" s="114" t="s">
        <v>321</v>
      </c>
      <c r="B32" s="155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6"/>
      <c r="X32" s="76"/>
      <c r="Y32" s="76"/>
      <c r="Z32" s="76"/>
      <c r="AA32" s="76"/>
    </row>
    <row r="33" ht="15" customHeight="1" spans="1:27">
      <c r="A33" s="117" t="s">
        <v>322</v>
      </c>
      <c r="B33" s="37">
        <v>15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6"/>
      <c r="X33" s="76"/>
      <c r="Y33" s="76"/>
      <c r="Z33" s="76"/>
      <c r="AA33" s="76"/>
    </row>
    <row r="34" ht="15" customHeight="1" spans="1:27">
      <c r="A34" s="117" t="s">
        <v>323</v>
      </c>
      <c r="B34" s="37">
        <v>0</v>
      </c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6"/>
      <c r="X34" s="76"/>
      <c r="Y34" s="76"/>
      <c r="Z34" s="76"/>
      <c r="AA34" s="76"/>
    </row>
    <row r="35" ht="15" customHeight="1" spans="1:27">
      <c r="A35" s="117" t="s">
        <v>324</v>
      </c>
      <c r="B35" s="51" t="s">
        <v>325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6"/>
      <c r="X35" s="76"/>
      <c r="Y35" s="76"/>
      <c r="Z35" s="76"/>
      <c r="AA35" s="76"/>
    </row>
    <row r="36" ht="15" customHeight="1" spans="1:27">
      <c r="A36" s="137" t="s">
        <v>326</v>
      </c>
      <c r="B36" s="54">
        <v>3.5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6"/>
      <c r="X36" s="76"/>
      <c r="Y36" s="76"/>
      <c r="Z36" s="76"/>
      <c r="AA36" s="76"/>
    </row>
    <row r="37" ht="15" customHeight="1" spans="1:27">
      <c r="A37" s="117" t="s">
        <v>277</v>
      </c>
      <c r="B37" s="157" t="s">
        <v>278</v>
      </c>
      <c r="C37" s="122" t="s">
        <v>279</v>
      </c>
      <c r="D37" s="122" t="s">
        <v>280</v>
      </c>
      <c r="E37" s="122" t="s">
        <v>281</v>
      </c>
      <c r="F37" s="157" t="s">
        <v>282</v>
      </c>
      <c r="G37" s="122" t="s">
        <v>327</v>
      </c>
      <c r="H37" s="122" t="s">
        <v>328</v>
      </c>
      <c r="I37" s="122" t="s">
        <v>329</v>
      </c>
      <c r="J37" s="157" t="s">
        <v>330</v>
      </c>
      <c r="K37" s="122" t="s">
        <v>331</v>
      </c>
      <c r="L37" s="122" t="s">
        <v>332</v>
      </c>
      <c r="M37" s="122" t="s">
        <v>333</v>
      </c>
      <c r="N37" s="122" t="s">
        <v>334</v>
      </c>
      <c r="O37" s="157" t="s">
        <v>335</v>
      </c>
      <c r="P37" s="157" t="s">
        <v>336</v>
      </c>
      <c r="Q37" s="157" t="s">
        <v>337</v>
      </c>
      <c r="R37" s="157" t="s">
        <v>338</v>
      </c>
      <c r="S37" s="122" t="s">
        <v>339</v>
      </c>
      <c r="T37" s="157" t="s">
        <v>340</v>
      </c>
      <c r="U37" s="157" t="s">
        <v>341</v>
      </c>
      <c r="V37" s="157" t="s">
        <v>342</v>
      </c>
      <c r="W37" s="122" t="s">
        <v>343</v>
      </c>
      <c r="X37" s="122" t="s">
        <v>344</v>
      </c>
      <c r="Y37" s="122" t="s">
        <v>345</v>
      </c>
      <c r="Z37" s="122" t="s">
        <v>346</v>
      </c>
      <c r="AA37" s="122" t="s">
        <v>347</v>
      </c>
    </row>
    <row r="38" ht="15" customHeight="1" spans="1:27">
      <c r="A38" s="117" t="s">
        <v>348</v>
      </c>
      <c r="B38" s="25"/>
      <c r="C38" s="24"/>
      <c r="D38" s="24"/>
      <c r="E38" s="24"/>
      <c r="F38" s="29"/>
      <c r="G38" s="24"/>
      <c r="H38" s="24"/>
      <c r="I38" s="24"/>
      <c r="J38" s="29"/>
      <c r="K38" s="24"/>
      <c r="L38" s="24"/>
      <c r="M38" s="24"/>
      <c r="N38" s="24"/>
      <c r="O38" s="29"/>
      <c r="P38" s="29"/>
      <c r="Q38" s="29"/>
      <c r="R38" s="29"/>
      <c r="S38" s="24"/>
      <c r="T38" s="29"/>
      <c r="U38" s="29"/>
      <c r="V38" s="29"/>
      <c r="W38" s="24"/>
      <c r="X38" s="24"/>
      <c r="Y38" s="24"/>
      <c r="Z38" s="24"/>
      <c r="AA38" s="24"/>
    </row>
    <row r="39" ht="17.25" customHeight="1"/>
    <row r="40" ht="17.25" customHeight="1"/>
    <row r="41" ht="17.25" customHeight="1"/>
  </sheetData>
  <mergeCells count="35">
    <mergeCell ref="A1:B1"/>
    <mergeCell ref="C1:N1"/>
    <mergeCell ref="O1:R1"/>
    <mergeCell ref="C2:D2"/>
    <mergeCell ref="G2:H2"/>
    <mergeCell ref="K2:L2"/>
    <mergeCell ref="C3:D3"/>
    <mergeCell ref="G3:H3"/>
    <mergeCell ref="K3:L3"/>
    <mergeCell ref="C4:D4"/>
    <mergeCell ref="G4:H4"/>
    <mergeCell ref="K4:L4"/>
    <mergeCell ref="C5:D5"/>
    <mergeCell ref="G5:H5"/>
    <mergeCell ref="K5:L5"/>
    <mergeCell ref="C6:D6"/>
    <mergeCell ref="G6:H6"/>
    <mergeCell ref="C7:D7"/>
    <mergeCell ref="G7:H7"/>
    <mergeCell ref="C8:D8"/>
    <mergeCell ref="G8:H8"/>
    <mergeCell ref="C9:D9"/>
    <mergeCell ref="G9:H9"/>
    <mergeCell ref="C10:N10"/>
    <mergeCell ref="A11:B11"/>
    <mergeCell ref="C11:D11"/>
    <mergeCell ref="G11:H11"/>
    <mergeCell ref="K11:L11"/>
    <mergeCell ref="C12:D12"/>
    <mergeCell ref="G12:H12"/>
    <mergeCell ref="K12:L12"/>
    <mergeCell ref="A21:B21"/>
    <mergeCell ref="A26:B26"/>
    <mergeCell ref="A30:B30"/>
    <mergeCell ref="A32:B3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B90"/>
  <sheetViews>
    <sheetView workbookViewId="0">
      <pane xSplit="3" topLeftCell="D1" activePane="topRight" state="frozen"/>
      <selection/>
      <selection pane="topRight" activeCell="A1" sqref="A1:C1"/>
    </sheetView>
  </sheetViews>
  <sheetFormatPr defaultColWidth="8.83333333333333" defaultRowHeight="13.5"/>
  <cols>
    <col min="1" max="1" width="32.8333333333333" style="14" customWidth="1"/>
    <col min="2" max="2" width="12.8333333333333" style="1" customWidth="1"/>
    <col min="3" max="28" width="12.8333333333333" style="34" customWidth="1"/>
  </cols>
  <sheetData>
    <row r="1" ht="15" customHeight="1" spans="1:28">
      <c r="A1" s="114" t="s">
        <v>349</v>
      </c>
      <c r="B1" s="114"/>
      <c r="C1" s="155"/>
      <c r="D1" s="156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 ht="15" customHeight="1" spans="1:28">
      <c r="A2" s="122" t="s">
        <v>350</v>
      </c>
      <c r="B2" s="122"/>
      <c r="C2" s="25" t="s">
        <v>351</v>
      </c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</row>
    <row r="3" ht="15" customHeight="1" spans="1:28">
      <c r="A3" s="117" t="s">
        <v>352</v>
      </c>
      <c r="B3" s="122" t="s">
        <v>86</v>
      </c>
      <c r="C3" s="131">
        <v>3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</row>
    <row r="4" ht="15" customHeight="1" spans="1:28">
      <c r="A4" s="117" t="s">
        <v>353</v>
      </c>
      <c r="B4" s="122" t="s">
        <v>270</v>
      </c>
      <c r="C4" s="131">
        <v>20</v>
      </c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</row>
    <row r="5" ht="15" customHeight="1" spans="1:28">
      <c r="A5" s="117"/>
      <c r="B5" s="122" t="s">
        <v>277</v>
      </c>
      <c r="C5" s="157" t="s">
        <v>278</v>
      </c>
      <c r="D5" s="157" t="s">
        <v>279</v>
      </c>
      <c r="E5" s="157" t="s">
        <v>280</v>
      </c>
      <c r="F5" s="157" t="s">
        <v>281</v>
      </c>
      <c r="G5" s="157" t="s">
        <v>282</v>
      </c>
      <c r="H5" s="157" t="s">
        <v>327</v>
      </c>
      <c r="I5" s="157" t="s">
        <v>328</v>
      </c>
      <c r="J5" s="157" t="s">
        <v>329</v>
      </c>
      <c r="K5" s="157" t="s">
        <v>330</v>
      </c>
      <c r="L5" s="157" t="s">
        <v>331</v>
      </c>
      <c r="M5" s="157" t="s">
        <v>332</v>
      </c>
      <c r="N5" s="157" t="s">
        <v>333</v>
      </c>
      <c r="O5" s="157" t="s">
        <v>334</v>
      </c>
      <c r="P5" s="157" t="s">
        <v>335</v>
      </c>
      <c r="Q5" s="157" t="s">
        <v>336</v>
      </c>
      <c r="R5" s="157" t="s">
        <v>337</v>
      </c>
      <c r="S5" s="157" t="s">
        <v>338</v>
      </c>
      <c r="T5" s="157" t="s">
        <v>339</v>
      </c>
      <c r="U5" s="157" t="s">
        <v>340</v>
      </c>
      <c r="V5" s="157" t="s">
        <v>341</v>
      </c>
      <c r="W5" s="157" t="s">
        <v>342</v>
      </c>
      <c r="X5" s="157" t="s">
        <v>343</v>
      </c>
      <c r="Y5" s="157" t="s">
        <v>344</v>
      </c>
      <c r="Z5" s="157" t="s">
        <v>345</v>
      </c>
      <c r="AA5" s="157" t="s">
        <v>346</v>
      </c>
      <c r="AB5" s="157" t="s">
        <v>347</v>
      </c>
    </row>
    <row r="6" ht="15" customHeight="1" spans="1:28">
      <c r="A6" s="117" t="s">
        <v>354</v>
      </c>
      <c r="B6" s="122" t="s">
        <v>24</v>
      </c>
      <c r="C6" s="146"/>
      <c r="D6" s="146">
        <f t="shared" ref="D6:W6" si="0">$C89*(1-$C$3/100)/$C$4</f>
        <v>0</v>
      </c>
      <c r="E6" s="146">
        <f t="shared" si="0"/>
        <v>0</v>
      </c>
      <c r="F6" s="146">
        <f t="shared" si="0"/>
        <v>0</v>
      </c>
      <c r="G6" s="146">
        <f t="shared" si="0"/>
        <v>0</v>
      </c>
      <c r="H6" s="146">
        <f t="shared" si="0"/>
        <v>0</v>
      </c>
      <c r="I6" s="146">
        <f t="shared" si="0"/>
        <v>0</v>
      </c>
      <c r="J6" s="146">
        <f t="shared" si="0"/>
        <v>0</v>
      </c>
      <c r="K6" s="146">
        <f t="shared" si="0"/>
        <v>0</v>
      </c>
      <c r="L6" s="146">
        <f t="shared" si="0"/>
        <v>0</v>
      </c>
      <c r="M6" s="146">
        <f t="shared" si="0"/>
        <v>0</v>
      </c>
      <c r="N6" s="146">
        <f t="shared" si="0"/>
        <v>0</v>
      </c>
      <c r="O6" s="146">
        <f t="shared" si="0"/>
        <v>0</v>
      </c>
      <c r="P6" s="146">
        <f t="shared" si="0"/>
        <v>0</v>
      </c>
      <c r="Q6" s="146">
        <f t="shared" si="0"/>
        <v>0</v>
      </c>
      <c r="R6" s="146">
        <f t="shared" si="0"/>
        <v>0</v>
      </c>
      <c r="S6" s="146">
        <f t="shared" si="0"/>
        <v>0</v>
      </c>
      <c r="T6" s="146">
        <f t="shared" si="0"/>
        <v>0</v>
      </c>
      <c r="U6" s="146">
        <f t="shared" si="0"/>
        <v>0</v>
      </c>
      <c r="V6" s="146">
        <f t="shared" si="0"/>
        <v>0</v>
      </c>
      <c r="W6" s="146">
        <f t="shared" si="0"/>
        <v>0</v>
      </c>
      <c r="X6" s="146">
        <v>0</v>
      </c>
      <c r="Y6" s="146">
        <v>0</v>
      </c>
      <c r="Z6" s="146">
        <v>0</v>
      </c>
      <c r="AA6" s="146">
        <v>0</v>
      </c>
      <c r="AB6" s="146">
        <v>0</v>
      </c>
    </row>
    <row r="7" ht="15" customHeight="1" spans="1:28">
      <c r="A7" s="117" t="s">
        <v>355</v>
      </c>
      <c r="B7" s="122" t="s">
        <v>24</v>
      </c>
      <c r="C7" s="146"/>
      <c r="D7" s="51"/>
      <c r="E7" s="51"/>
      <c r="F7" s="51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ht="15" customHeight="1" spans="1:28">
      <c r="A8" s="117" t="s">
        <v>356</v>
      </c>
      <c r="B8" s="122" t="s">
        <v>24</v>
      </c>
      <c r="C8" s="146"/>
      <c r="D8" s="146">
        <f t="shared" ref="D8:AB8" si="1">IF($C$2="年限折旧法",D6,D7)</f>
        <v>0</v>
      </c>
      <c r="E8" s="146">
        <f t="shared" si="1"/>
        <v>0</v>
      </c>
      <c r="F8" s="146">
        <f t="shared" si="1"/>
        <v>0</v>
      </c>
      <c r="G8" s="146">
        <f t="shared" si="1"/>
        <v>0</v>
      </c>
      <c r="H8" s="146">
        <f t="shared" si="1"/>
        <v>0</v>
      </c>
      <c r="I8" s="146">
        <f t="shared" si="1"/>
        <v>0</v>
      </c>
      <c r="J8" s="146">
        <f t="shared" si="1"/>
        <v>0</v>
      </c>
      <c r="K8" s="146">
        <f t="shared" si="1"/>
        <v>0</v>
      </c>
      <c r="L8" s="146">
        <f t="shared" si="1"/>
        <v>0</v>
      </c>
      <c r="M8" s="146">
        <f t="shared" si="1"/>
        <v>0</v>
      </c>
      <c r="N8" s="146">
        <f t="shared" si="1"/>
        <v>0</v>
      </c>
      <c r="O8" s="146">
        <f t="shared" si="1"/>
        <v>0</v>
      </c>
      <c r="P8" s="146">
        <f t="shared" si="1"/>
        <v>0</v>
      </c>
      <c r="Q8" s="146">
        <f t="shared" si="1"/>
        <v>0</v>
      </c>
      <c r="R8" s="146">
        <f t="shared" si="1"/>
        <v>0</v>
      </c>
      <c r="S8" s="146">
        <f t="shared" si="1"/>
        <v>0</v>
      </c>
      <c r="T8" s="146">
        <f t="shared" si="1"/>
        <v>0</v>
      </c>
      <c r="U8" s="146">
        <f t="shared" si="1"/>
        <v>0</v>
      </c>
      <c r="V8" s="146">
        <f t="shared" si="1"/>
        <v>0</v>
      </c>
      <c r="W8" s="146">
        <f t="shared" si="1"/>
        <v>0</v>
      </c>
      <c r="X8" s="146">
        <f t="shared" si="1"/>
        <v>0</v>
      </c>
      <c r="Y8" s="146">
        <f t="shared" si="1"/>
        <v>0</v>
      </c>
      <c r="Z8" s="146">
        <f t="shared" si="1"/>
        <v>0</v>
      </c>
      <c r="AA8" s="146">
        <f t="shared" si="1"/>
        <v>0</v>
      </c>
      <c r="AB8" s="146">
        <f t="shared" si="1"/>
        <v>0</v>
      </c>
    </row>
    <row r="9" ht="15" customHeight="1" spans="1:28">
      <c r="A9" s="114" t="s">
        <v>357</v>
      </c>
      <c r="B9" s="114"/>
      <c r="C9" s="155"/>
      <c r="D9" s="156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</row>
    <row r="10" ht="15" customHeight="1" spans="1:28">
      <c r="A10" s="122" t="s">
        <v>350</v>
      </c>
      <c r="B10" s="122"/>
      <c r="C10" s="25" t="s">
        <v>358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</row>
    <row r="11" ht="15" customHeight="1" spans="1:28">
      <c r="A11" s="117"/>
      <c r="B11" s="122" t="s">
        <v>277</v>
      </c>
      <c r="C11" s="157" t="s">
        <v>278</v>
      </c>
      <c r="D11" s="157" t="s">
        <v>279</v>
      </c>
      <c r="E11" s="157" t="s">
        <v>280</v>
      </c>
      <c r="F11" s="157" t="s">
        <v>281</v>
      </c>
      <c r="G11" s="157" t="s">
        <v>282</v>
      </c>
      <c r="H11" s="157" t="s">
        <v>327</v>
      </c>
      <c r="I11" s="157" t="s">
        <v>328</v>
      </c>
      <c r="J11" s="157" t="s">
        <v>329</v>
      </c>
      <c r="K11" s="157" t="s">
        <v>330</v>
      </c>
      <c r="L11" s="157" t="s">
        <v>331</v>
      </c>
      <c r="M11" s="157" t="s">
        <v>332</v>
      </c>
      <c r="N11" s="157" t="s">
        <v>333</v>
      </c>
      <c r="O11" s="157" t="s">
        <v>334</v>
      </c>
      <c r="P11" s="157" t="s">
        <v>335</v>
      </c>
      <c r="Q11" s="157" t="s">
        <v>336</v>
      </c>
      <c r="R11" s="157" t="s">
        <v>337</v>
      </c>
      <c r="S11" s="157" t="s">
        <v>338</v>
      </c>
      <c r="T11" s="157" t="s">
        <v>339</v>
      </c>
      <c r="U11" s="157" t="s">
        <v>340</v>
      </c>
      <c r="V11" s="157" t="s">
        <v>341</v>
      </c>
      <c r="W11" s="157" t="s">
        <v>342</v>
      </c>
      <c r="X11" s="157" t="s">
        <v>343</v>
      </c>
      <c r="Y11" s="157" t="s">
        <v>344</v>
      </c>
      <c r="Z11" s="157" t="s">
        <v>345</v>
      </c>
      <c r="AA11" s="157" t="s">
        <v>346</v>
      </c>
      <c r="AB11" s="157" t="s">
        <v>347</v>
      </c>
    </row>
    <row r="12" ht="15" customHeight="1" spans="1:28">
      <c r="A12" s="158" t="s">
        <v>359</v>
      </c>
      <c r="B12" s="122" t="s">
        <v>86</v>
      </c>
      <c r="C12" s="146"/>
      <c r="D12" s="70">
        <v>0</v>
      </c>
      <c r="E12" s="70">
        <f t="shared" ref="E12:AB12" si="2">D12</f>
        <v>0</v>
      </c>
      <c r="F12" s="70">
        <f t="shared" si="2"/>
        <v>0</v>
      </c>
      <c r="G12" s="70">
        <f t="shared" si="2"/>
        <v>0</v>
      </c>
      <c r="H12" s="70">
        <f t="shared" si="2"/>
        <v>0</v>
      </c>
      <c r="I12" s="70">
        <f t="shared" si="2"/>
        <v>0</v>
      </c>
      <c r="J12" s="70">
        <f t="shared" si="2"/>
        <v>0</v>
      </c>
      <c r="K12" s="70">
        <f t="shared" si="2"/>
        <v>0</v>
      </c>
      <c r="L12" s="70">
        <f t="shared" si="2"/>
        <v>0</v>
      </c>
      <c r="M12" s="70">
        <f t="shared" si="2"/>
        <v>0</v>
      </c>
      <c r="N12" s="70">
        <f t="shared" si="2"/>
        <v>0</v>
      </c>
      <c r="O12" s="70">
        <f t="shared" si="2"/>
        <v>0</v>
      </c>
      <c r="P12" s="70">
        <f t="shared" si="2"/>
        <v>0</v>
      </c>
      <c r="Q12" s="70">
        <f t="shared" si="2"/>
        <v>0</v>
      </c>
      <c r="R12" s="70">
        <f t="shared" si="2"/>
        <v>0</v>
      </c>
      <c r="S12" s="70">
        <f t="shared" si="2"/>
        <v>0</v>
      </c>
      <c r="T12" s="70">
        <f t="shared" si="2"/>
        <v>0</v>
      </c>
      <c r="U12" s="70">
        <f t="shared" si="2"/>
        <v>0</v>
      </c>
      <c r="V12" s="70">
        <f t="shared" si="2"/>
        <v>0</v>
      </c>
      <c r="W12" s="70">
        <f t="shared" si="2"/>
        <v>0</v>
      </c>
      <c r="X12" s="70">
        <f t="shared" si="2"/>
        <v>0</v>
      </c>
      <c r="Y12" s="70">
        <f t="shared" si="2"/>
        <v>0</v>
      </c>
      <c r="Z12" s="70">
        <f t="shared" si="2"/>
        <v>0</v>
      </c>
      <c r="AA12" s="70">
        <f t="shared" si="2"/>
        <v>0</v>
      </c>
      <c r="AB12" s="70">
        <f t="shared" si="2"/>
        <v>0</v>
      </c>
    </row>
    <row r="13" ht="15" customHeight="1" spans="1:28">
      <c r="A13" s="117"/>
      <c r="B13" s="122" t="s">
        <v>24</v>
      </c>
      <c r="C13" s="146"/>
      <c r="D13" s="159">
        <f t="shared" ref="D13:AB13" si="3">$C$89*D12%</f>
        <v>0</v>
      </c>
      <c r="E13" s="159">
        <f t="shared" si="3"/>
        <v>0</v>
      </c>
      <c r="F13" s="159">
        <f t="shared" si="3"/>
        <v>0</v>
      </c>
      <c r="G13" s="159">
        <f t="shared" si="3"/>
        <v>0</v>
      </c>
      <c r="H13" s="159">
        <f t="shared" si="3"/>
        <v>0</v>
      </c>
      <c r="I13" s="159">
        <f t="shared" si="3"/>
        <v>0</v>
      </c>
      <c r="J13" s="159">
        <f t="shared" si="3"/>
        <v>0</v>
      </c>
      <c r="K13" s="159">
        <f t="shared" si="3"/>
        <v>0</v>
      </c>
      <c r="L13" s="159">
        <f t="shared" si="3"/>
        <v>0</v>
      </c>
      <c r="M13" s="159">
        <f t="shared" si="3"/>
        <v>0</v>
      </c>
      <c r="N13" s="159">
        <f t="shared" si="3"/>
        <v>0</v>
      </c>
      <c r="O13" s="159">
        <f t="shared" si="3"/>
        <v>0</v>
      </c>
      <c r="P13" s="159">
        <f t="shared" si="3"/>
        <v>0</v>
      </c>
      <c r="Q13" s="159">
        <f t="shared" si="3"/>
        <v>0</v>
      </c>
      <c r="R13" s="159">
        <f t="shared" si="3"/>
        <v>0</v>
      </c>
      <c r="S13" s="159">
        <f t="shared" si="3"/>
        <v>0</v>
      </c>
      <c r="T13" s="159">
        <f t="shared" si="3"/>
        <v>0</v>
      </c>
      <c r="U13" s="159">
        <f t="shared" si="3"/>
        <v>0</v>
      </c>
      <c r="V13" s="159">
        <f t="shared" si="3"/>
        <v>0</v>
      </c>
      <c r="W13" s="159">
        <f t="shared" si="3"/>
        <v>0</v>
      </c>
      <c r="X13" s="159">
        <f t="shared" si="3"/>
        <v>0</v>
      </c>
      <c r="Y13" s="159">
        <f t="shared" si="3"/>
        <v>0</v>
      </c>
      <c r="Z13" s="159">
        <f t="shared" si="3"/>
        <v>0</v>
      </c>
      <c r="AA13" s="159">
        <f t="shared" si="3"/>
        <v>0</v>
      </c>
      <c r="AB13" s="159">
        <f t="shared" si="3"/>
        <v>0</v>
      </c>
    </row>
    <row r="14" ht="15" customHeight="1" spans="1:28">
      <c r="A14" s="158" t="s">
        <v>358</v>
      </c>
      <c r="B14" s="122" t="s">
        <v>360</v>
      </c>
      <c r="C14" s="146"/>
      <c r="D14" s="51" t="e">
        <f>IF(COLUMN()-3&lt;=成本费用取值表!$H$14,成本费用取值表!$C$18,成本费用取值表!$D$18)*IF(基本信息!#REF!="自主运维",1,0)</f>
        <v>#REF!</v>
      </c>
      <c r="E14" s="51" t="e">
        <f>IF(COLUMN()-3&lt;=成本费用取值表!$H$14,成本费用取值表!$C$18,成本费用取值表!$D$18)*IF(基本信息!#REF!="自主运维",1,0)</f>
        <v>#REF!</v>
      </c>
      <c r="F14" s="51" t="e">
        <f>IF(COLUMN()-3&lt;=成本费用取值表!$H$14,成本费用取值表!$C$18,成本费用取值表!$D$18)*IF(基本信息!#REF!="自主运维",1,0)</f>
        <v>#REF!</v>
      </c>
      <c r="G14" s="51" t="e">
        <f>IF(COLUMN()-3&lt;=成本费用取值表!$H$14,成本费用取值表!$C$18,成本费用取值表!$D$18)*IF(基本信息!#REF!="自主运维",1,0)</f>
        <v>#REF!</v>
      </c>
      <c r="H14" s="51" t="e">
        <f>IF(COLUMN()-3&lt;=成本费用取值表!$H$14,成本费用取值表!$C$18,成本费用取值表!$D$18)*IF(基本信息!#REF!="自主运维",1,0)</f>
        <v>#REF!</v>
      </c>
      <c r="I14" s="51" t="e">
        <f>IF(COLUMN()-3&lt;=成本费用取值表!$H$14,成本费用取值表!$C$18,成本费用取值表!$D$18)*IF(基本信息!#REF!="自主运维",1,0)</f>
        <v>#REF!</v>
      </c>
      <c r="J14" s="51" t="e">
        <f>IF(COLUMN()-3&lt;=成本费用取值表!$H$14,成本费用取值表!$C$18,成本费用取值表!$D$18)*IF(基本信息!#REF!="自主运维",1,0)</f>
        <v>#REF!</v>
      </c>
      <c r="K14" s="51" t="e">
        <f>IF(COLUMN()-3&lt;=成本费用取值表!$H$14,成本费用取值表!$C$18,成本费用取值表!$D$18)*IF(基本信息!#REF!="自主运维",1,0)</f>
        <v>#REF!</v>
      </c>
      <c r="L14" s="51" t="e">
        <f>IF(COLUMN()-3&lt;=成本费用取值表!$H$14,成本费用取值表!$C$18,成本费用取值表!$D$18)*IF(基本信息!#REF!="自主运维",1,0)</f>
        <v>#REF!</v>
      </c>
      <c r="M14" s="51" t="e">
        <f>IF(COLUMN()-3&lt;=成本费用取值表!$H$14,成本费用取值表!$C$18,成本费用取值表!$D$18)*IF(基本信息!#REF!="自主运维",1,0)</f>
        <v>#REF!</v>
      </c>
      <c r="N14" s="51" t="e">
        <f>IF(COLUMN()-3&lt;=成本费用取值表!$H$14,成本费用取值表!$C$18,成本费用取值表!$D$18)*IF(基本信息!#REF!="自主运维",1,0)</f>
        <v>#REF!</v>
      </c>
      <c r="O14" s="51" t="e">
        <f>IF(COLUMN()-3&lt;=成本费用取值表!$H$14,成本费用取值表!$C$18,成本费用取值表!$D$18)*IF(基本信息!#REF!="自主运维",1,0)</f>
        <v>#REF!</v>
      </c>
      <c r="P14" s="51" t="e">
        <f>IF(COLUMN()-3&lt;=成本费用取值表!$H$14,成本费用取值表!$C$18,成本费用取值表!$D$18)*IF(基本信息!#REF!="自主运维",1,0)</f>
        <v>#REF!</v>
      </c>
      <c r="Q14" s="51" t="e">
        <f>IF(COLUMN()-3&lt;=成本费用取值表!$H$14,成本费用取值表!$C$18,成本费用取值表!$D$18)*IF(基本信息!#REF!="自主运维",1,0)</f>
        <v>#REF!</v>
      </c>
      <c r="R14" s="51" t="e">
        <f>IF(COLUMN()-3&lt;=成本费用取值表!$H$14,成本费用取值表!$C$18,成本费用取值表!$D$18)*IF(基本信息!#REF!="自主运维",1,0)</f>
        <v>#REF!</v>
      </c>
      <c r="S14" s="51" t="e">
        <f>IF(COLUMN()-3&lt;=成本费用取值表!$H$14,成本费用取值表!$C$18,成本费用取值表!$D$18)*IF(基本信息!#REF!="自主运维",1,0)</f>
        <v>#REF!</v>
      </c>
      <c r="T14" s="51" t="e">
        <f>IF(COLUMN()-3&lt;=成本费用取值表!$H$14,成本费用取值表!$C$18,成本费用取值表!$D$18)*IF(基本信息!#REF!="自主运维",1,0)</f>
        <v>#REF!</v>
      </c>
      <c r="U14" s="51" t="e">
        <f>IF(COLUMN()-3&lt;=成本费用取值表!$H$14,成本费用取值表!$C$18,成本费用取值表!$D$18)*IF(基本信息!#REF!="自主运维",1,0)</f>
        <v>#REF!</v>
      </c>
      <c r="V14" s="51" t="e">
        <f>IF(COLUMN()-3&lt;=成本费用取值表!$H$14,成本费用取值表!$C$18,成本费用取值表!$D$18)*IF(基本信息!#REF!="自主运维",1,0)</f>
        <v>#REF!</v>
      </c>
      <c r="W14" s="51" t="e">
        <f>IF(COLUMN()-3&lt;=成本费用取值表!$H$14,成本费用取值表!$C$18,成本费用取值表!$D$18)*IF(基本信息!#REF!="自主运维",1,0)</f>
        <v>#REF!</v>
      </c>
      <c r="X14" s="51" t="e">
        <f>IF(COLUMN()-3&lt;=成本费用取值表!$H$14,成本费用取值表!$C$18,成本费用取值表!$D$18)*IF(基本信息!#REF!="自主运维",1,0)</f>
        <v>#REF!</v>
      </c>
      <c r="Y14" s="51" t="e">
        <f>IF(COLUMN()-3&lt;=成本费用取值表!$H$14,成本费用取值表!$C$18,成本费用取值表!$D$18)*IF(基本信息!#REF!="自主运维",1,0)</f>
        <v>#REF!</v>
      </c>
      <c r="Z14" s="51" t="e">
        <f>IF(COLUMN()-3&lt;=成本费用取值表!$H$14,成本费用取值表!$C$18,成本费用取值表!$D$18)*IF(基本信息!#REF!="自主运维",1,0)</f>
        <v>#REF!</v>
      </c>
      <c r="AA14" s="51" t="e">
        <f>IF(COLUMN()-3&lt;=成本费用取值表!$H$14,成本费用取值表!$C$18,成本费用取值表!$D$18)*IF(基本信息!#REF!="自主运维",1,0)</f>
        <v>#REF!</v>
      </c>
      <c r="AB14" s="51" t="e">
        <f>IF(COLUMN()-3&lt;=成本费用取值表!$H$14,成本费用取值表!$C$18,成本费用取值表!$D$18)*IF(基本信息!#REF!="自主运维",1,0)</f>
        <v>#REF!</v>
      </c>
    </row>
    <row r="15" ht="15" customHeight="1" spans="1:28">
      <c r="A15" s="117"/>
      <c r="B15" s="122" t="s">
        <v>24</v>
      </c>
      <c r="C15" s="146"/>
      <c r="D15" s="160" t="e">
        <f>D14*基本参数!$B7/10</f>
        <v>#REF!</v>
      </c>
      <c r="E15" s="160" t="e">
        <f>E14*基本参数!$B7/10</f>
        <v>#REF!</v>
      </c>
      <c r="F15" s="160" t="e">
        <f>F14*基本参数!$B7/10</f>
        <v>#REF!</v>
      </c>
      <c r="G15" s="160" t="e">
        <f>G14*基本参数!$B7/10</f>
        <v>#REF!</v>
      </c>
      <c r="H15" s="160" t="e">
        <f>H14*基本参数!$B7/10</f>
        <v>#REF!</v>
      </c>
      <c r="I15" s="160" t="e">
        <f>I14*基本参数!$B7/10</f>
        <v>#REF!</v>
      </c>
      <c r="J15" s="160" t="e">
        <f>J14*基本参数!$B7/10</f>
        <v>#REF!</v>
      </c>
      <c r="K15" s="160" t="e">
        <f>K14*基本参数!$B7/10</f>
        <v>#REF!</v>
      </c>
      <c r="L15" s="160" t="e">
        <f>L14*基本参数!$B7/10</f>
        <v>#REF!</v>
      </c>
      <c r="M15" s="160" t="e">
        <f>M14*基本参数!$B7/10</f>
        <v>#REF!</v>
      </c>
      <c r="N15" s="160" t="e">
        <f>N14*基本参数!$B7/10</f>
        <v>#REF!</v>
      </c>
      <c r="O15" s="160" t="e">
        <f>O14*基本参数!$B7/10</f>
        <v>#REF!</v>
      </c>
      <c r="P15" s="160" t="e">
        <f>P14*基本参数!$B7/10</f>
        <v>#REF!</v>
      </c>
      <c r="Q15" s="160" t="e">
        <f>Q14*基本参数!$B7/10</f>
        <v>#REF!</v>
      </c>
      <c r="R15" s="160" t="e">
        <f>R14*基本参数!$B7/10</f>
        <v>#REF!</v>
      </c>
      <c r="S15" s="160" t="e">
        <f>S14*基本参数!$B7/10</f>
        <v>#REF!</v>
      </c>
      <c r="T15" s="160" t="e">
        <f>T14*基本参数!$B7/10</f>
        <v>#REF!</v>
      </c>
      <c r="U15" s="160" t="e">
        <f>U14*基本参数!$B7/10</f>
        <v>#REF!</v>
      </c>
      <c r="V15" s="160" t="e">
        <f>V14*基本参数!$B7/10</f>
        <v>#REF!</v>
      </c>
      <c r="W15" s="160" t="e">
        <f>W14*基本参数!$B7/10</f>
        <v>#REF!</v>
      </c>
      <c r="X15" s="160" t="e">
        <f>X14*基本参数!$B7/10</f>
        <v>#REF!</v>
      </c>
      <c r="Y15" s="160" t="e">
        <f>Y14*基本参数!$B7/10</f>
        <v>#REF!</v>
      </c>
      <c r="Z15" s="160" t="e">
        <f>Z14*基本参数!$B7/10</f>
        <v>#REF!</v>
      </c>
      <c r="AA15" s="160" t="e">
        <f>AA14*基本参数!$B7/10</f>
        <v>#REF!</v>
      </c>
      <c r="AB15" s="160" t="e">
        <f>AB14*基本参数!$B7/10</f>
        <v>#REF!</v>
      </c>
    </row>
    <row r="16" ht="15" customHeight="1" spans="1:28">
      <c r="A16" s="117" t="s">
        <v>305</v>
      </c>
      <c r="B16" s="122" t="s">
        <v>24</v>
      </c>
      <c r="C16" s="146"/>
      <c r="D16" s="51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ht="15" customHeight="1" spans="1:28">
      <c r="A17" s="117" t="s">
        <v>361</v>
      </c>
      <c r="B17" s="122" t="s">
        <v>24</v>
      </c>
      <c r="C17" s="146"/>
      <c r="D17" s="146" t="e">
        <f>IF($C$10="按费率",D13,IF($C$10="按比例",D15,D16))*IF(OR(基本参数!$B$2&lt;=COLUMN()-3,COLUMN()-3&lt;基本参数!$B$3),0,1)</f>
        <v>#REF!</v>
      </c>
      <c r="E17" s="146" t="e">
        <f>IF($C$10="按费率",E13,IF($C$10="按比例",E15,E16))*IF(OR(基本参数!$B$2&lt;=COLUMN()-3,COLUMN()-3&lt;基本参数!$B$3),0,1)</f>
        <v>#REF!</v>
      </c>
      <c r="F17" s="146" t="e">
        <f>IF($C$10="按费率",F13,IF($C$10="按比例",F15,F16))*IF(OR(基本参数!$B$2&lt;=COLUMN()-3,COLUMN()-3&lt;基本参数!$B$3),0,1)</f>
        <v>#REF!</v>
      </c>
      <c r="G17" s="146" t="e">
        <f>IF($C$10="按费率",G13,IF($C$10="按比例",G15,G16))*IF(OR(基本参数!$B$2&lt;=COLUMN()-3,COLUMN()-3&lt;基本参数!$B$3),0,1)</f>
        <v>#REF!</v>
      </c>
      <c r="H17" s="146" t="e">
        <f>IF($C$10="按费率",H13,IF($C$10="按比例",H15,H16))*IF(OR(基本参数!$B$2&lt;=COLUMN()-3,COLUMN()-3&lt;基本参数!$B$3),0,1)</f>
        <v>#REF!</v>
      </c>
      <c r="I17" s="146" t="e">
        <f>IF($C$10="按费率",I13,IF($C$10="按比例",I15,I16))*IF(OR(基本参数!$B$2&lt;=COLUMN()-3,COLUMN()-3&lt;基本参数!$B$3),0,1)</f>
        <v>#REF!</v>
      </c>
      <c r="J17" s="146" t="e">
        <f>IF($C$10="按费率",J13,IF($C$10="按比例",J15,J16))*IF(OR(基本参数!$B$2&lt;=COLUMN()-3,COLUMN()-3&lt;基本参数!$B$3),0,1)</f>
        <v>#REF!</v>
      </c>
      <c r="K17" s="146" t="e">
        <f>IF($C$10="按费率",K13,IF($C$10="按比例",K15,K16))*IF(OR(基本参数!$B$2&lt;=COLUMN()-3,COLUMN()-3&lt;基本参数!$B$3),0,1)</f>
        <v>#REF!</v>
      </c>
      <c r="L17" s="146" t="e">
        <f>IF($C$10="按费率",L13,IF($C$10="按比例",L15,L16))*IF(OR(基本参数!$B$2&lt;=COLUMN()-3,COLUMN()-3&lt;基本参数!$B$3),0,1)</f>
        <v>#REF!</v>
      </c>
      <c r="M17" s="146" t="e">
        <f>IF($C$10="按费率",M13,IF($C$10="按比例",M15,M16))*IF(OR(基本参数!$B$2&lt;=COLUMN()-3,COLUMN()-3&lt;基本参数!$B$3),0,1)</f>
        <v>#REF!</v>
      </c>
      <c r="N17" s="146" t="e">
        <f>IF($C$10="按费率",N13,IF($C$10="按比例",N15,N16))*IF(OR(基本参数!$B$2&lt;=COLUMN()-3,COLUMN()-3&lt;基本参数!$B$3),0,1)</f>
        <v>#REF!</v>
      </c>
      <c r="O17" s="146" t="e">
        <f>IF($C$10="按费率",O13,IF($C$10="按比例",O15,O16))*IF(OR(基本参数!$B$2&lt;=COLUMN()-3,COLUMN()-3&lt;基本参数!$B$3),0,1)</f>
        <v>#REF!</v>
      </c>
      <c r="P17" s="146" t="e">
        <f>IF($C$10="按费率",P13,IF($C$10="按比例",P15,P16))*IF(OR(基本参数!$B$2&lt;=COLUMN()-3,COLUMN()-3&lt;基本参数!$B$3),0,1)</f>
        <v>#REF!</v>
      </c>
      <c r="Q17" s="146" t="e">
        <f>IF($C$10="按费率",Q13,IF($C$10="按比例",Q15,Q16))*IF(OR(基本参数!$B$2&lt;=COLUMN()-3,COLUMN()-3&lt;基本参数!$B$3),0,1)</f>
        <v>#REF!</v>
      </c>
      <c r="R17" s="146" t="e">
        <f>IF($C$10="按费率",R13,IF($C$10="按比例",R15,R16))*IF(OR(基本参数!$B$2&lt;=COLUMN()-3,COLUMN()-3&lt;基本参数!$B$3),0,1)</f>
        <v>#REF!</v>
      </c>
      <c r="S17" s="146" t="e">
        <f>IF($C$10="按费率",S13,IF($C$10="按比例",S15,S16))*IF(OR(基本参数!$B$2&lt;=COLUMN()-3,COLUMN()-3&lt;基本参数!$B$3),0,1)</f>
        <v>#REF!</v>
      </c>
      <c r="T17" s="146" t="e">
        <f>IF($C$10="按费率",T13,IF($C$10="按比例",T15,T16))*IF(OR(基本参数!$B$2&lt;=COLUMN()-3,COLUMN()-3&lt;基本参数!$B$3),0,1)</f>
        <v>#REF!</v>
      </c>
      <c r="U17" s="146" t="e">
        <f>IF($C$10="按费率",U13,IF($C$10="按比例",U15,U16))*IF(OR(基本参数!$B$2&lt;=COLUMN()-3,COLUMN()-3&lt;基本参数!$B$3),0,1)</f>
        <v>#REF!</v>
      </c>
      <c r="V17" s="146" t="e">
        <f>IF($C$10="按费率",V13,IF($C$10="按比例",V15,V16))*IF(OR(基本参数!$B$2&lt;=COLUMN()-3,COLUMN()-3&lt;基本参数!$B$3),0,1)</f>
        <v>#REF!</v>
      </c>
      <c r="W17" s="146" t="e">
        <f>IF($C$10="按费率",W13,IF($C$10="按比例",W15,W16))*IF(OR(基本参数!$B$2&lt;=COLUMN()-3,COLUMN()-3&lt;基本参数!$B$3),0,1)</f>
        <v>#REF!</v>
      </c>
      <c r="X17" s="146" t="e">
        <f>IF($C$10="按费率",X13,IF($C$10="按比例",X15,X16))*IF(OR(基本参数!$B$2&lt;=COLUMN()-3,COLUMN()-3&lt;基本参数!$B$3),0,1)</f>
        <v>#REF!</v>
      </c>
      <c r="Y17" s="146" t="e">
        <f>IF($C$10="按费率",Y13,IF($C$10="按比例",Y15,Y16))*IF(OR(基本参数!$B$2&lt;=COLUMN()-3,COLUMN()-3&lt;基本参数!$B$3),0,1)</f>
        <v>#REF!</v>
      </c>
      <c r="Z17" s="146" t="e">
        <f>IF($C$10="按费率",Z13,IF($C$10="按比例",Z15,Z16))*IF(OR(基本参数!$B$2&lt;=COLUMN()-3,COLUMN()-3&lt;基本参数!$B$3),0,1)</f>
        <v>#REF!</v>
      </c>
      <c r="AA17" s="146" t="e">
        <f>IF($C$10="按费率",AA13,IF($C$10="按比例",AA15,AA16))*IF(OR(基本参数!$B$2&lt;=COLUMN()-3,COLUMN()-3&lt;基本参数!$B$3),0,1)</f>
        <v>#REF!</v>
      </c>
      <c r="AB17" s="146" t="e">
        <f>IF($C$10="按费率",AB13,IF($C$10="按比例",AB15,AB16))*IF(OR(基本参数!$B$2&lt;=COLUMN()-3,COLUMN()-3&lt;基本参数!$B$3),0,1)</f>
        <v>#REF!</v>
      </c>
    </row>
    <row r="18" ht="15" customHeight="1" spans="1:28">
      <c r="A18" s="114" t="s">
        <v>362</v>
      </c>
      <c r="B18" s="114"/>
      <c r="C18" s="155"/>
      <c r="D18" s="156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</row>
    <row r="19" ht="15" customHeight="1" spans="1:28">
      <c r="A19" s="122" t="s">
        <v>350</v>
      </c>
      <c r="B19" s="122"/>
      <c r="C19" s="25" t="s">
        <v>363</v>
      </c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</row>
    <row r="20" ht="15" customHeight="1" spans="1:28">
      <c r="A20" s="117"/>
      <c r="B20" s="122" t="s">
        <v>277</v>
      </c>
      <c r="C20" s="157" t="s">
        <v>278</v>
      </c>
      <c r="D20" s="157" t="s">
        <v>279</v>
      </c>
      <c r="E20" s="157" t="s">
        <v>280</v>
      </c>
      <c r="F20" s="157" t="s">
        <v>281</v>
      </c>
      <c r="G20" s="157" t="s">
        <v>282</v>
      </c>
      <c r="H20" s="157" t="s">
        <v>327</v>
      </c>
      <c r="I20" s="157" t="s">
        <v>328</v>
      </c>
      <c r="J20" s="157" t="s">
        <v>329</v>
      </c>
      <c r="K20" s="157" t="s">
        <v>330</v>
      </c>
      <c r="L20" s="157" t="s">
        <v>331</v>
      </c>
      <c r="M20" s="157" t="s">
        <v>332</v>
      </c>
      <c r="N20" s="157" t="s">
        <v>333</v>
      </c>
      <c r="O20" s="157" t="s">
        <v>334</v>
      </c>
      <c r="P20" s="157" t="s">
        <v>335</v>
      </c>
      <c r="Q20" s="157" t="s">
        <v>336</v>
      </c>
      <c r="R20" s="157" t="s">
        <v>337</v>
      </c>
      <c r="S20" s="157" t="s">
        <v>338</v>
      </c>
      <c r="T20" s="157" t="s">
        <v>339</v>
      </c>
      <c r="U20" s="157" t="s">
        <v>340</v>
      </c>
      <c r="V20" s="157" t="s">
        <v>341</v>
      </c>
      <c r="W20" s="157" t="s">
        <v>342</v>
      </c>
      <c r="X20" s="157" t="s">
        <v>343</v>
      </c>
      <c r="Y20" s="157" t="s">
        <v>344</v>
      </c>
      <c r="Z20" s="157" t="s">
        <v>345</v>
      </c>
      <c r="AA20" s="157" t="s">
        <v>346</v>
      </c>
      <c r="AB20" s="157" t="s">
        <v>347</v>
      </c>
    </row>
    <row r="21" ht="15" customHeight="1" spans="1:28">
      <c r="A21" s="117" t="s">
        <v>364</v>
      </c>
      <c r="B21" s="122" t="s">
        <v>365</v>
      </c>
      <c r="C21" s="124"/>
      <c r="D21" s="51" t="e">
        <f>成本费用取值表!C57</f>
        <v>#REF!</v>
      </c>
      <c r="E21" s="51" t="e">
        <f t="shared" ref="E21:AB21" si="4">D21</f>
        <v>#REF!</v>
      </c>
      <c r="F21" s="51" t="e">
        <f t="shared" si="4"/>
        <v>#REF!</v>
      </c>
      <c r="G21" s="51" t="e">
        <f t="shared" si="4"/>
        <v>#REF!</v>
      </c>
      <c r="H21" s="51" t="e">
        <f t="shared" si="4"/>
        <v>#REF!</v>
      </c>
      <c r="I21" s="51" t="e">
        <f t="shared" si="4"/>
        <v>#REF!</v>
      </c>
      <c r="J21" s="51" t="e">
        <f t="shared" si="4"/>
        <v>#REF!</v>
      </c>
      <c r="K21" s="51" t="e">
        <f t="shared" si="4"/>
        <v>#REF!</v>
      </c>
      <c r="L21" s="51" t="e">
        <f t="shared" si="4"/>
        <v>#REF!</v>
      </c>
      <c r="M21" s="51" t="e">
        <f t="shared" si="4"/>
        <v>#REF!</v>
      </c>
      <c r="N21" s="51" t="e">
        <f t="shared" si="4"/>
        <v>#REF!</v>
      </c>
      <c r="O21" s="51" t="e">
        <f t="shared" si="4"/>
        <v>#REF!</v>
      </c>
      <c r="P21" s="51" t="e">
        <f t="shared" si="4"/>
        <v>#REF!</v>
      </c>
      <c r="Q21" s="51" t="e">
        <f t="shared" si="4"/>
        <v>#REF!</v>
      </c>
      <c r="R21" s="51" t="e">
        <f t="shared" si="4"/>
        <v>#REF!</v>
      </c>
      <c r="S21" s="51" t="e">
        <f t="shared" si="4"/>
        <v>#REF!</v>
      </c>
      <c r="T21" s="51" t="e">
        <f t="shared" si="4"/>
        <v>#REF!</v>
      </c>
      <c r="U21" s="51" t="e">
        <f t="shared" si="4"/>
        <v>#REF!</v>
      </c>
      <c r="V21" s="51" t="e">
        <f t="shared" si="4"/>
        <v>#REF!</v>
      </c>
      <c r="W21" s="51" t="e">
        <f t="shared" si="4"/>
        <v>#REF!</v>
      </c>
      <c r="X21" s="51" t="e">
        <f t="shared" si="4"/>
        <v>#REF!</v>
      </c>
      <c r="Y21" s="51" t="e">
        <f t="shared" si="4"/>
        <v>#REF!</v>
      </c>
      <c r="Z21" s="51" t="e">
        <f t="shared" si="4"/>
        <v>#REF!</v>
      </c>
      <c r="AA21" s="51" t="e">
        <f t="shared" si="4"/>
        <v>#REF!</v>
      </c>
      <c r="AB21" s="51" t="e">
        <f t="shared" si="4"/>
        <v>#REF!</v>
      </c>
    </row>
    <row r="22" ht="15" customHeight="1" spans="1:28">
      <c r="A22" s="117" t="s">
        <v>366</v>
      </c>
      <c r="B22" s="122" t="s">
        <v>24</v>
      </c>
      <c r="C22" s="124"/>
      <c r="D22" s="51">
        <f>成本费用取值表!C53</f>
        <v>38.7</v>
      </c>
      <c r="E22" s="51">
        <f t="shared" ref="E22:AB22" si="5">D22</f>
        <v>38.7</v>
      </c>
      <c r="F22" s="51">
        <f t="shared" si="5"/>
        <v>38.7</v>
      </c>
      <c r="G22" s="51">
        <f t="shared" si="5"/>
        <v>38.7</v>
      </c>
      <c r="H22" s="51">
        <f t="shared" si="5"/>
        <v>38.7</v>
      </c>
      <c r="I22" s="51">
        <f t="shared" si="5"/>
        <v>38.7</v>
      </c>
      <c r="J22" s="51">
        <f t="shared" si="5"/>
        <v>38.7</v>
      </c>
      <c r="K22" s="51">
        <f t="shared" si="5"/>
        <v>38.7</v>
      </c>
      <c r="L22" s="51">
        <f t="shared" si="5"/>
        <v>38.7</v>
      </c>
      <c r="M22" s="51">
        <f t="shared" si="5"/>
        <v>38.7</v>
      </c>
      <c r="N22" s="51">
        <f t="shared" si="5"/>
        <v>38.7</v>
      </c>
      <c r="O22" s="51">
        <f t="shared" si="5"/>
        <v>38.7</v>
      </c>
      <c r="P22" s="51">
        <f t="shared" si="5"/>
        <v>38.7</v>
      </c>
      <c r="Q22" s="51">
        <f t="shared" si="5"/>
        <v>38.7</v>
      </c>
      <c r="R22" s="51">
        <f t="shared" si="5"/>
        <v>38.7</v>
      </c>
      <c r="S22" s="51">
        <f t="shared" si="5"/>
        <v>38.7</v>
      </c>
      <c r="T22" s="51">
        <f t="shared" si="5"/>
        <v>38.7</v>
      </c>
      <c r="U22" s="51">
        <f t="shared" si="5"/>
        <v>38.7</v>
      </c>
      <c r="V22" s="51">
        <f t="shared" si="5"/>
        <v>38.7</v>
      </c>
      <c r="W22" s="51">
        <f t="shared" si="5"/>
        <v>38.7</v>
      </c>
      <c r="X22" s="51">
        <f t="shared" si="5"/>
        <v>38.7</v>
      </c>
      <c r="Y22" s="51">
        <f t="shared" si="5"/>
        <v>38.7</v>
      </c>
      <c r="Z22" s="51">
        <f t="shared" si="5"/>
        <v>38.7</v>
      </c>
      <c r="AA22" s="51">
        <f t="shared" si="5"/>
        <v>38.7</v>
      </c>
      <c r="AB22" s="51">
        <f t="shared" si="5"/>
        <v>38.7</v>
      </c>
    </row>
    <row r="23" ht="15" customHeight="1" spans="1:28">
      <c r="A23" s="117" t="s">
        <v>367</v>
      </c>
      <c r="B23" s="122" t="s">
        <v>86</v>
      </c>
      <c r="C23" s="124"/>
      <c r="D23" s="70">
        <v>0</v>
      </c>
      <c r="E23" s="70">
        <f t="shared" ref="E23:AB23" si="6">D23</f>
        <v>0</v>
      </c>
      <c r="F23" s="70">
        <f t="shared" si="6"/>
        <v>0</v>
      </c>
      <c r="G23" s="70">
        <f t="shared" si="6"/>
        <v>0</v>
      </c>
      <c r="H23" s="70">
        <f t="shared" si="6"/>
        <v>0</v>
      </c>
      <c r="I23" s="70">
        <f t="shared" si="6"/>
        <v>0</v>
      </c>
      <c r="J23" s="70">
        <f t="shared" si="6"/>
        <v>0</v>
      </c>
      <c r="K23" s="70">
        <f t="shared" si="6"/>
        <v>0</v>
      </c>
      <c r="L23" s="70">
        <f t="shared" si="6"/>
        <v>0</v>
      </c>
      <c r="M23" s="70">
        <f t="shared" si="6"/>
        <v>0</v>
      </c>
      <c r="N23" s="70">
        <f t="shared" si="6"/>
        <v>0</v>
      </c>
      <c r="O23" s="70">
        <f t="shared" si="6"/>
        <v>0</v>
      </c>
      <c r="P23" s="70">
        <f t="shared" si="6"/>
        <v>0</v>
      </c>
      <c r="Q23" s="70">
        <f t="shared" si="6"/>
        <v>0</v>
      </c>
      <c r="R23" s="70">
        <f t="shared" si="6"/>
        <v>0</v>
      </c>
      <c r="S23" s="70">
        <f t="shared" si="6"/>
        <v>0</v>
      </c>
      <c r="T23" s="70">
        <f t="shared" si="6"/>
        <v>0</v>
      </c>
      <c r="U23" s="70">
        <f t="shared" si="6"/>
        <v>0</v>
      </c>
      <c r="V23" s="70">
        <f t="shared" si="6"/>
        <v>0</v>
      </c>
      <c r="W23" s="70">
        <f t="shared" si="6"/>
        <v>0</v>
      </c>
      <c r="X23" s="70">
        <f t="shared" si="6"/>
        <v>0</v>
      </c>
      <c r="Y23" s="70">
        <f t="shared" si="6"/>
        <v>0</v>
      </c>
      <c r="Z23" s="70">
        <f t="shared" si="6"/>
        <v>0</v>
      </c>
      <c r="AA23" s="70">
        <f t="shared" si="6"/>
        <v>0</v>
      </c>
      <c r="AB23" s="70">
        <f t="shared" si="6"/>
        <v>0</v>
      </c>
    </row>
    <row r="24" ht="15" customHeight="1" spans="1:28">
      <c r="A24" s="117" t="s">
        <v>305</v>
      </c>
      <c r="B24" s="122" t="s">
        <v>24</v>
      </c>
      <c r="C24" s="146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ht="15" customHeight="1" spans="1:28">
      <c r="A25" s="117" t="s">
        <v>368</v>
      </c>
      <c r="B25" s="122" t="s">
        <v>24</v>
      </c>
      <c r="C25" s="146"/>
      <c r="D25" s="146" t="e">
        <f>IF($C$19="自动计算",D21*D22*(1+D23/100),D24)*IF(OR(基本参数!$B$2&lt;=COLUMN()-3,COLUMN()-3&lt;基本参数!$B$3),0,1)</f>
        <v>#REF!</v>
      </c>
      <c r="E25" s="146" t="e">
        <f>IF($C$19="自动计算",E21*E22*(1+E23/100),E24)*IF(OR(基本参数!$B$2&lt;=COLUMN()-3,COLUMN()-3&lt;基本参数!$B$3),0,1)</f>
        <v>#REF!</v>
      </c>
      <c r="F25" s="146" t="e">
        <f>IF($C$19="自动计算",F21*F22*(1+F23/100),F24)*IF(OR(基本参数!$B$2&lt;=COLUMN()-3,COLUMN()-3&lt;基本参数!$B$3),0,1)</f>
        <v>#REF!</v>
      </c>
      <c r="G25" s="146" t="e">
        <f>IF($C$19="自动计算",G21*G22*(1+G23/100),G24)*IF(OR(基本参数!$B$2&lt;=COLUMN()-3,COLUMN()-3&lt;基本参数!$B$3),0,1)</f>
        <v>#REF!</v>
      </c>
      <c r="H25" s="146" t="e">
        <f>IF($C$19="自动计算",H21*H22*(1+H23/100),H24)*IF(OR(基本参数!$B$2&lt;=COLUMN()-3,COLUMN()-3&lt;基本参数!$B$3),0,1)</f>
        <v>#REF!</v>
      </c>
      <c r="I25" s="146" t="e">
        <f>IF($C$19="自动计算",I21*I22*(1+I23/100),I24)*IF(OR(基本参数!$B$2&lt;=COLUMN()-3,COLUMN()-3&lt;基本参数!$B$3),0,1)</f>
        <v>#REF!</v>
      </c>
      <c r="J25" s="146" t="e">
        <f>IF($C$19="自动计算",J21*J22*(1+J23/100),J24)*IF(OR(基本参数!$B$2&lt;=COLUMN()-3,COLUMN()-3&lt;基本参数!$B$3),0,1)</f>
        <v>#REF!</v>
      </c>
      <c r="K25" s="146" t="e">
        <f>IF($C$19="自动计算",K21*K22*(1+K23/100),K24)*IF(OR(基本参数!$B$2&lt;=COLUMN()-3,COLUMN()-3&lt;基本参数!$B$3),0,1)</f>
        <v>#REF!</v>
      </c>
      <c r="L25" s="146" t="e">
        <f>IF($C$19="自动计算",L21*L22*(1+L23/100),L24)*IF(OR(基本参数!$B$2&lt;=COLUMN()-3,COLUMN()-3&lt;基本参数!$B$3),0,1)</f>
        <v>#REF!</v>
      </c>
      <c r="M25" s="146" t="e">
        <f>IF($C$19="自动计算",M21*M22*(1+M23/100),M24)*IF(OR(基本参数!$B$2&lt;=COLUMN()-3,COLUMN()-3&lt;基本参数!$B$3),0,1)</f>
        <v>#REF!</v>
      </c>
      <c r="N25" s="146" t="e">
        <f>IF($C$19="自动计算",N21*N22*(1+N23/100),N24)*IF(OR(基本参数!$B$2&lt;=COLUMN()-3,COLUMN()-3&lt;基本参数!$B$3),0,1)</f>
        <v>#REF!</v>
      </c>
      <c r="O25" s="146" t="e">
        <f>IF($C$19="自动计算",O21*O22*(1+O23/100),O24)*IF(OR(基本参数!$B$2&lt;=COLUMN()-3,COLUMN()-3&lt;基本参数!$B$3),0,1)</f>
        <v>#REF!</v>
      </c>
      <c r="P25" s="146" t="e">
        <f>IF($C$19="自动计算",P21*P22*(1+P23/100),P24)*IF(OR(基本参数!$B$2&lt;=COLUMN()-3,COLUMN()-3&lt;基本参数!$B$3),0,1)</f>
        <v>#REF!</v>
      </c>
      <c r="Q25" s="146" t="e">
        <f>IF($C$19="自动计算",Q21*Q22*(1+Q23/100),Q24)*IF(OR(基本参数!$B$2&lt;=COLUMN()-3,COLUMN()-3&lt;基本参数!$B$3),0,1)</f>
        <v>#REF!</v>
      </c>
      <c r="R25" s="146" t="e">
        <f>IF($C$19="自动计算",R21*R22*(1+R23/100),R24)*IF(OR(基本参数!$B$2&lt;=COLUMN()-3,COLUMN()-3&lt;基本参数!$B$3),0,1)</f>
        <v>#REF!</v>
      </c>
      <c r="S25" s="146" t="e">
        <f>IF($C$19="自动计算",S21*S22*(1+S23/100),S24)*IF(OR(基本参数!$B$2&lt;=COLUMN()-3,COLUMN()-3&lt;基本参数!$B$3),0,1)</f>
        <v>#REF!</v>
      </c>
      <c r="T25" s="146" t="e">
        <f>IF($C$19="自动计算",T21*T22*(1+T23/100),T24)*IF(OR(基本参数!$B$2&lt;=COLUMN()-3,COLUMN()-3&lt;基本参数!$B$3),0,1)</f>
        <v>#REF!</v>
      </c>
      <c r="U25" s="146" t="e">
        <f>IF($C$19="自动计算",U21*U22*(1+U23/100),U24)*IF(OR(基本参数!$B$2&lt;=COLUMN()-3,COLUMN()-3&lt;基本参数!$B$3),0,1)</f>
        <v>#REF!</v>
      </c>
      <c r="V25" s="146" t="e">
        <f>IF($C$19="自动计算",V21*V22*(1+V23/100),V24)*IF(OR(基本参数!$B$2&lt;=COLUMN()-3,COLUMN()-3&lt;基本参数!$B$3),0,1)</f>
        <v>#REF!</v>
      </c>
      <c r="W25" s="146" t="e">
        <f>IF($C$19="自动计算",W21*W22*(1+W23/100),W24)*IF(OR(基本参数!$B$2&lt;=COLUMN()-3,COLUMN()-3&lt;基本参数!$B$3),0,1)</f>
        <v>#REF!</v>
      </c>
      <c r="X25" s="146" t="e">
        <f>IF($C$19="自动计算",X21*X22*(1+X23/100),X24)*IF(OR(基本参数!$B$2&lt;=COLUMN()-3,COLUMN()-3&lt;基本参数!$B$3),0,1)</f>
        <v>#REF!</v>
      </c>
      <c r="Y25" s="146" t="e">
        <f>IF($C$19="自动计算",Y21*Y22*(1+Y23/100),Y24)*IF(OR(基本参数!$B$2&lt;=COLUMN()-3,COLUMN()-3&lt;基本参数!$B$3),0,1)</f>
        <v>#REF!</v>
      </c>
      <c r="Z25" s="146" t="e">
        <f>IF($C$19="自动计算",Z21*Z22*(1+Z23/100),Z24)*IF(OR(基本参数!$B$2&lt;=COLUMN()-3,COLUMN()-3&lt;基本参数!$B$3),0,1)</f>
        <v>#REF!</v>
      </c>
      <c r="AA25" s="146" t="e">
        <f>IF($C$19="自动计算",AA21*AA22*(1+AA23/100),AA24)*IF(OR(基本参数!$B$2&lt;=COLUMN()-3,COLUMN()-3&lt;基本参数!$B$3),0,1)</f>
        <v>#REF!</v>
      </c>
      <c r="AB25" s="146" t="e">
        <f>IF($C$19="自动计算",AB21*AB22*(1+AB23/100),AB24)*IF(OR(基本参数!$B$2&lt;=COLUMN()-3,COLUMN()-3&lt;基本参数!$B$3),0,1)</f>
        <v>#REF!</v>
      </c>
    </row>
    <row r="26" ht="15" customHeight="1" spans="1:28">
      <c r="A26" s="114" t="s">
        <v>369</v>
      </c>
      <c r="B26" s="114"/>
      <c r="C26" s="155"/>
      <c r="D26" s="156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</row>
    <row r="27" ht="15" customHeight="1" spans="1:28">
      <c r="A27" s="122" t="s">
        <v>350</v>
      </c>
      <c r="B27" s="122"/>
      <c r="C27" s="25" t="s">
        <v>370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</row>
    <row r="28" ht="15" customHeight="1" spans="1:28">
      <c r="A28" s="117" t="s">
        <v>371</v>
      </c>
      <c r="B28" s="122" t="s">
        <v>86</v>
      </c>
      <c r="C28" s="51" t="e">
        <f>IF(成本费用取值表!T10=1,0.1246,0.0447)</f>
        <v>#REF!</v>
      </c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</row>
    <row r="29" ht="15" customHeight="1" spans="1:28">
      <c r="A29" s="117"/>
      <c r="B29" s="122" t="s">
        <v>277</v>
      </c>
      <c r="C29" s="157" t="s">
        <v>278</v>
      </c>
      <c r="D29" s="157" t="s">
        <v>279</v>
      </c>
      <c r="E29" s="157" t="s">
        <v>280</v>
      </c>
      <c r="F29" s="157" t="s">
        <v>281</v>
      </c>
      <c r="G29" s="157" t="s">
        <v>282</v>
      </c>
      <c r="H29" s="157" t="s">
        <v>327</v>
      </c>
      <c r="I29" s="157" t="s">
        <v>328</v>
      </c>
      <c r="J29" s="157" t="s">
        <v>329</v>
      </c>
      <c r="K29" s="157" t="s">
        <v>330</v>
      </c>
      <c r="L29" s="157" t="s">
        <v>331</v>
      </c>
      <c r="M29" s="157" t="s">
        <v>332</v>
      </c>
      <c r="N29" s="157" t="s">
        <v>333</v>
      </c>
      <c r="O29" s="157" t="s">
        <v>334</v>
      </c>
      <c r="P29" s="157" t="s">
        <v>335</v>
      </c>
      <c r="Q29" s="157" t="s">
        <v>336</v>
      </c>
      <c r="R29" s="157" t="s">
        <v>337</v>
      </c>
      <c r="S29" s="157" t="s">
        <v>338</v>
      </c>
      <c r="T29" s="157" t="s">
        <v>339</v>
      </c>
      <c r="U29" s="157" t="s">
        <v>340</v>
      </c>
      <c r="V29" s="157" t="s">
        <v>341</v>
      </c>
      <c r="W29" s="157" t="s">
        <v>342</v>
      </c>
      <c r="X29" s="157" t="s">
        <v>343</v>
      </c>
      <c r="Y29" s="157" t="s">
        <v>344</v>
      </c>
      <c r="Z29" s="157" t="s">
        <v>345</v>
      </c>
      <c r="AA29" s="157" t="s">
        <v>346</v>
      </c>
      <c r="AB29" s="157" t="s">
        <v>347</v>
      </c>
    </row>
    <row r="30" ht="15" customHeight="1" spans="1:28">
      <c r="A30" s="117" t="s">
        <v>370</v>
      </c>
      <c r="B30" s="122" t="s">
        <v>24</v>
      </c>
      <c r="C30" s="124"/>
      <c r="D30" s="146" t="e">
        <f t="shared" ref="D30:AB30" si="7">D89*$C$28/100</f>
        <v>#REF!</v>
      </c>
      <c r="E30" s="146" t="e">
        <f t="shared" si="7"/>
        <v>#REF!</v>
      </c>
      <c r="F30" s="146" t="e">
        <f t="shared" si="7"/>
        <v>#REF!</v>
      </c>
      <c r="G30" s="146" t="e">
        <f t="shared" si="7"/>
        <v>#REF!</v>
      </c>
      <c r="H30" s="146" t="e">
        <f t="shared" si="7"/>
        <v>#REF!</v>
      </c>
      <c r="I30" s="146" t="e">
        <f t="shared" si="7"/>
        <v>#REF!</v>
      </c>
      <c r="J30" s="146" t="e">
        <f t="shared" si="7"/>
        <v>#REF!</v>
      </c>
      <c r="K30" s="146" t="e">
        <f t="shared" si="7"/>
        <v>#REF!</v>
      </c>
      <c r="L30" s="146" t="e">
        <f t="shared" si="7"/>
        <v>#REF!</v>
      </c>
      <c r="M30" s="146" t="e">
        <f t="shared" si="7"/>
        <v>#REF!</v>
      </c>
      <c r="N30" s="146" t="e">
        <f t="shared" si="7"/>
        <v>#REF!</v>
      </c>
      <c r="O30" s="146" t="e">
        <f t="shared" si="7"/>
        <v>#REF!</v>
      </c>
      <c r="P30" s="146" t="e">
        <f t="shared" si="7"/>
        <v>#REF!</v>
      </c>
      <c r="Q30" s="146" t="e">
        <f t="shared" si="7"/>
        <v>#REF!</v>
      </c>
      <c r="R30" s="146" t="e">
        <f t="shared" si="7"/>
        <v>#REF!</v>
      </c>
      <c r="S30" s="146" t="e">
        <f t="shared" si="7"/>
        <v>#REF!</v>
      </c>
      <c r="T30" s="146" t="e">
        <f t="shared" si="7"/>
        <v>#REF!</v>
      </c>
      <c r="U30" s="146" t="e">
        <f t="shared" si="7"/>
        <v>#REF!</v>
      </c>
      <c r="V30" s="146" t="e">
        <f t="shared" si="7"/>
        <v>#REF!</v>
      </c>
      <c r="W30" s="146" t="e">
        <f t="shared" si="7"/>
        <v>#REF!</v>
      </c>
      <c r="X30" s="146" t="e">
        <f t="shared" si="7"/>
        <v>#REF!</v>
      </c>
      <c r="Y30" s="146" t="e">
        <f t="shared" si="7"/>
        <v>#REF!</v>
      </c>
      <c r="Z30" s="146" t="e">
        <f t="shared" si="7"/>
        <v>#REF!</v>
      </c>
      <c r="AA30" s="146" t="e">
        <f t="shared" si="7"/>
        <v>#REF!</v>
      </c>
      <c r="AB30" s="146" t="e">
        <f t="shared" si="7"/>
        <v>#REF!</v>
      </c>
    </row>
    <row r="31" ht="15" customHeight="1" spans="1:28">
      <c r="A31" s="117" t="s">
        <v>372</v>
      </c>
      <c r="B31" s="122" t="s">
        <v>24</v>
      </c>
      <c r="C31" s="124"/>
      <c r="D31" s="146" t="e">
        <f t="shared" ref="D31:AB31" si="8">D90*$C$28/100</f>
        <v>#REF!</v>
      </c>
      <c r="E31" s="146" t="e">
        <f t="shared" si="8"/>
        <v>#REF!</v>
      </c>
      <c r="F31" s="146" t="e">
        <f t="shared" si="8"/>
        <v>#REF!</v>
      </c>
      <c r="G31" s="146" t="e">
        <f t="shared" si="8"/>
        <v>#REF!</v>
      </c>
      <c r="H31" s="146" t="e">
        <f t="shared" si="8"/>
        <v>#REF!</v>
      </c>
      <c r="I31" s="146" t="e">
        <f t="shared" si="8"/>
        <v>#REF!</v>
      </c>
      <c r="J31" s="146" t="e">
        <f t="shared" si="8"/>
        <v>#REF!</v>
      </c>
      <c r="K31" s="146" t="e">
        <f t="shared" si="8"/>
        <v>#REF!</v>
      </c>
      <c r="L31" s="146" t="e">
        <f t="shared" si="8"/>
        <v>#REF!</v>
      </c>
      <c r="M31" s="146" t="e">
        <f t="shared" si="8"/>
        <v>#REF!</v>
      </c>
      <c r="N31" s="146" t="e">
        <f t="shared" si="8"/>
        <v>#REF!</v>
      </c>
      <c r="O31" s="146" t="e">
        <f t="shared" si="8"/>
        <v>#REF!</v>
      </c>
      <c r="P31" s="146" t="e">
        <f t="shared" si="8"/>
        <v>#REF!</v>
      </c>
      <c r="Q31" s="146" t="e">
        <f t="shared" si="8"/>
        <v>#REF!</v>
      </c>
      <c r="R31" s="146" t="e">
        <f t="shared" si="8"/>
        <v>#REF!</v>
      </c>
      <c r="S31" s="146" t="e">
        <f t="shared" si="8"/>
        <v>#REF!</v>
      </c>
      <c r="T31" s="146" t="e">
        <f t="shared" si="8"/>
        <v>#REF!</v>
      </c>
      <c r="U31" s="146" t="e">
        <f t="shared" si="8"/>
        <v>#REF!</v>
      </c>
      <c r="V31" s="146" t="e">
        <f t="shared" si="8"/>
        <v>#REF!</v>
      </c>
      <c r="W31" s="146" t="e">
        <f t="shared" si="8"/>
        <v>#REF!</v>
      </c>
      <c r="X31" s="146" t="e">
        <f t="shared" si="8"/>
        <v>#REF!</v>
      </c>
      <c r="Y31" s="146" t="e">
        <f t="shared" si="8"/>
        <v>#REF!</v>
      </c>
      <c r="Z31" s="146" t="e">
        <f t="shared" si="8"/>
        <v>#REF!</v>
      </c>
      <c r="AA31" s="146" t="e">
        <f t="shared" si="8"/>
        <v>#REF!</v>
      </c>
      <c r="AB31" s="146" t="e">
        <f t="shared" si="8"/>
        <v>#REF!</v>
      </c>
    </row>
    <row r="32" ht="15" customHeight="1" spans="1:28">
      <c r="A32" s="117" t="s">
        <v>305</v>
      </c>
      <c r="B32" s="122" t="s">
        <v>24</v>
      </c>
      <c r="C32" s="146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 ht="15" customHeight="1" spans="1:28">
      <c r="A33" s="117" t="s">
        <v>373</v>
      </c>
      <c r="B33" s="122" t="s">
        <v>24</v>
      </c>
      <c r="C33" s="146"/>
      <c r="D33" s="146" t="e">
        <f>IF($C$27="按固定资产原值",D30,IF($C$27="按固定资产净值",D31,D32))*IF(OR(基本参数!$B$2&lt;=COLUMN()-3,COLUMN()-3&lt;基本参数!$B$3),0,1)</f>
        <v>#REF!</v>
      </c>
      <c r="E33" s="146" t="e">
        <f>IF($C$27="按固定资产原值",E30,IF($C$27="按固定资产净值",E31,E32))*IF(OR(基本参数!$B$2&lt;=COLUMN()-3,COLUMN()-3&lt;基本参数!$B$3),0,1)</f>
        <v>#REF!</v>
      </c>
      <c r="F33" s="146" t="e">
        <f>IF($C$27="按固定资产原值",F30,IF($C$27="按固定资产净值",F31,F32))*IF(OR(基本参数!$B$2&lt;=COLUMN()-3,COLUMN()-3&lt;基本参数!$B$3),0,1)</f>
        <v>#REF!</v>
      </c>
      <c r="G33" s="146" t="e">
        <f>IF($C$27="按固定资产原值",G30,IF($C$27="按固定资产净值",G31,G32))*IF(OR(基本参数!$B$2&lt;=COLUMN()-3,COLUMN()-3&lt;基本参数!$B$3),0,1)</f>
        <v>#REF!</v>
      </c>
      <c r="H33" s="146" t="e">
        <f>IF($C$27="按固定资产原值",H30,IF($C$27="按固定资产净值",H31,H32))*IF(OR(基本参数!$B$2&lt;=COLUMN()-3,COLUMN()-3&lt;基本参数!$B$3),0,1)</f>
        <v>#REF!</v>
      </c>
      <c r="I33" s="146" t="e">
        <f>IF($C$27="按固定资产原值",I30,IF($C$27="按固定资产净值",I31,I32))*IF(OR(基本参数!$B$2&lt;=COLUMN()-3,COLUMN()-3&lt;基本参数!$B$3),0,1)</f>
        <v>#REF!</v>
      </c>
      <c r="J33" s="146" t="e">
        <f>IF($C$27="按固定资产原值",J30,IF($C$27="按固定资产净值",J31,J32))*IF(OR(基本参数!$B$2&lt;=COLUMN()-3,COLUMN()-3&lt;基本参数!$B$3),0,1)</f>
        <v>#REF!</v>
      </c>
      <c r="K33" s="146" t="e">
        <f>IF($C$27="按固定资产原值",K30,IF($C$27="按固定资产净值",K31,K32))*IF(OR(基本参数!$B$2&lt;=COLUMN()-3,COLUMN()-3&lt;基本参数!$B$3),0,1)</f>
        <v>#REF!</v>
      </c>
      <c r="L33" s="146" t="e">
        <f>IF($C$27="按固定资产原值",L30,IF($C$27="按固定资产净值",L31,L32))*IF(OR(基本参数!$B$2&lt;=COLUMN()-3,COLUMN()-3&lt;基本参数!$B$3),0,1)</f>
        <v>#REF!</v>
      </c>
      <c r="M33" s="146" t="e">
        <f>IF($C$27="按固定资产原值",M30,IF($C$27="按固定资产净值",M31,M32))*IF(OR(基本参数!$B$2&lt;=COLUMN()-3,COLUMN()-3&lt;基本参数!$B$3),0,1)</f>
        <v>#REF!</v>
      </c>
      <c r="N33" s="146" t="e">
        <f>IF($C$27="按固定资产原值",N30,IF($C$27="按固定资产净值",N31,N32))*IF(OR(基本参数!$B$2&lt;=COLUMN()-3,COLUMN()-3&lt;基本参数!$B$3),0,1)</f>
        <v>#REF!</v>
      </c>
      <c r="O33" s="146" t="e">
        <f>IF($C$27="按固定资产原值",O30,IF($C$27="按固定资产净值",O31,O32))*IF(OR(基本参数!$B$2&lt;=COLUMN()-3,COLUMN()-3&lt;基本参数!$B$3),0,1)</f>
        <v>#REF!</v>
      </c>
      <c r="P33" s="146" t="e">
        <f>IF($C$27="按固定资产原值",P30,IF($C$27="按固定资产净值",P31,P32))*IF(OR(基本参数!$B$2&lt;=COLUMN()-3,COLUMN()-3&lt;基本参数!$B$3),0,1)</f>
        <v>#REF!</v>
      </c>
      <c r="Q33" s="146" t="e">
        <f>IF($C$27="按固定资产原值",Q30,IF($C$27="按固定资产净值",Q31,Q32))*IF(OR(基本参数!$B$2&lt;=COLUMN()-3,COLUMN()-3&lt;基本参数!$B$3),0,1)</f>
        <v>#REF!</v>
      </c>
      <c r="R33" s="146" t="e">
        <f>IF($C$27="按固定资产原值",R30,IF($C$27="按固定资产净值",R31,R32))*IF(OR(基本参数!$B$2&lt;=COLUMN()-3,COLUMN()-3&lt;基本参数!$B$3),0,1)</f>
        <v>#REF!</v>
      </c>
      <c r="S33" s="146" t="e">
        <f>IF($C$27="按固定资产原值",S30,IF($C$27="按固定资产净值",S31,S32))*IF(OR(基本参数!$B$2&lt;=COLUMN()-3,COLUMN()-3&lt;基本参数!$B$3),0,1)</f>
        <v>#REF!</v>
      </c>
      <c r="T33" s="146" t="e">
        <f>IF($C$27="按固定资产原值",T30,IF($C$27="按固定资产净值",T31,T32))*IF(OR(基本参数!$B$2&lt;=COLUMN()-3,COLUMN()-3&lt;基本参数!$B$3),0,1)</f>
        <v>#REF!</v>
      </c>
      <c r="U33" s="146" t="e">
        <f>IF($C$27="按固定资产原值",U30,IF($C$27="按固定资产净值",U31,U32))*IF(OR(基本参数!$B$2&lt;=COLUMN()-3,COLUMN()-3&lt;基本参数!$B$3),0,1)</f>
        <v>#REF!</v>
      </c>
      <c r="V33" s="146" t="e">
        <f>IF($C$27="按固定资产原值",V30,IF($C$27="按固定资产净值",V31,V32))*IF(OR(基本参数!$B$2&lt;=COLUMN()-3,COLUMN()-3&lt;基本参数!$B$3),0,1)</f>
        <v>#REF!</v>
      </c>
      <c r="W33" s="146" t="e">
        <f>IF($C$27="按固定资产原值",W30,IF($C$27="按固定资产净值",W31,W32))*IF(OR(基本参数!$B$2&lt;=COLUMN()-3,COLUMN()-3&lt;基本参数!$B$3),0,1)</f>
        <v>#REF!</v>
      </c>
      <c r="X33" s="146" t="e">
        <f>IF($C$27="按固定资产原值",X30,IF($C$27="按固定资产净值",X31,X32))*IF(OR(基本参数!$B$2&lt;=COLUMN()-3,COLUMN()-3&lt;基本参数!$B$3),0,1)</f>
        <v>#REF!</v>
      </c>
      <c r="Y33" s="146" t="e">
        <f>IF($C$27="按固定资产原值",Y30,IF($C$27="按固定资产净值",Y31,Y32))*IF(OR(基本参数!$B$2&lt;=COLUMN()-3,COLUMN()-3&lt;基本参数!$B$3),0,1)</f>
        <v>#REF!</v>
      </c>
      <c r="Z33" s="146" t="e">
        <f>IF($C$27="按固定资产原值",Z30,IF($C$27="按固定资产净值",Z31,Z32))*IF(OR(基本参数!$B$2&lt;=COLUMN()-3,COLUMN()-3&lt;基本参数!$B$3),0,1)</f>
        <v>#REF!</v>
      </c>
      <c r="AA33" s="146" t="e">
        <f>IF($C$27="按固定资产原值",AA30,IF($C$27="按固定资产净值",AA31,AA32))*IF(OR(基本参数!$B$2&lt;=COLUMN()-3,COLUMN()-3&lt;基本参数!$B$3),0,1)</f>
        <v>#REF!</v>
      </c>
      <c r="AB33" s="146" t="e">
        <f>IF($C$27="按固定资产原值",AB30,IF($C$27="按固定资产净值",AB31,AB32))*IF(OR(基本参数!$B$2&lt;=COLUMN()-3,COLUMN()-3&lt;基本参数!$B$3),0,1)</f>
        <v>#REF!</v>
      </c>
    </row>
    <row r="34" ht="15" customHeight="1" spans="1:28">
      <c r="A34" s="114" t="s">
        <v>183</v>
      </c>
      <c r="B34" s="114"/>
      <c r="C34" s="155"/>
      <c r="D34" s="156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</row>
    <row r="35" ht="15" customHeight="1" spans="1:28">
      <c r="A35" s="122" t="s">
        <v>350</v>
      </c>
      <c r="B35" s="122"/>
      <c r="C35" s="25" t="s">
        <v>358</v>
      </c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</row>
    <row r="36" ht="15" customHeight="1" spans="1:28">
      <c r="A36" s="117"/>
      <c r="B36" s="122" t="s">
        <v>277</v>
      </c>
      <c r="C36" s="157" t="s">
        <v>278</v>
      </c>
      <c r="D36" s="157" t="s">
        <v>279</v>
      </c>
      <c r="E36" s="157" t="s">
        <v>280</v>
      </c>
      <c r="F36" s="157" t="s">
        <v>281</v>
      </c>
      <c r="G36" s="157" t="s">
        <v>282</v>
      </c>
      <c r="H36" s="157" t="s">
        <v>327</v>
      </c>
      <c r="I36" s="157" t="s">
        <v>328</v>
      </c>
      <c r="J36" s="157" t="s">
        <v>329</v>
      </c>
      <c r="K36" s="157" t="s">
        <v>330</v>
      </c>
      <c r="L36" s="157" t="s">
        <v>331</v>
      </c>
      <c r="M36" s="157" t="s">
        <v>332</v>
      </c>
      <c r="N36" s="157" t="s">
        <v>333</v>
      </c>
      <c r="O36" s="157" t="s">
        <v>334</v>
      </c>
      <c r="P36" s="157" t="s">
        <v>335</v>
      </c>
      <c r="Q36" s="157" t="s">
        <v>336</v>
      </c>
      <c r="R36" s="157" t="s">
        <v>337</v>
      </c>
      <c r="S36" s="157" t="s">
        <v>338</v>
      </c>
      <c r="T36" s="157" t="s">
        <v>339</v>
      </c>
      <c r="U36" s="157" t="s">
        <v>340</v>
      </c>
      <c r="V36" s="157" t="s">
        <v>341</v>
      </c>
      <c r="W36" s="157" t="s">
        <v>342</v>
      </c>
      <c r="X36" s="157" t="s">
        <v>343</v>
      </c>
      <c r="Y36" s="157" t="s">
        <v>344</v>
      </c>
      <c r="Z36" s="157" t="s">
        <v>345</v>
      </c>
      <c r="AA36" s="157" t="s">
        <v>346</v>
      </c>
      <c r="AB36" s="157" t="s">
        <v>347</v>
      </c>
    </row>
    <row r="37" ht="15" customHeight="1" spans="1:28">
      <c r="A37" s="158" t="s">
        <v>358</v>
      </c>
      <c r="B37" s="122" t="s">
        <v>360</v>
      </c>
      <c r="C37" s="124"/>
      <c r="D37" s="51" t="e">
        <f>IF(COLUMN()-3&lt;=成本费用取值表!$H$14,成本费用取值表!$C$28,成本费用取值表!$D$28)*IF(基本信息!#REF!="自主运维",1,0)</f>
        <v>#REF!</v>
      </c>
      <c r="E37" s="51" t="e">
        <f>IF(COLUMN()-3&lt;=成本费用取值表!$H$14,成本费用取值表!$C$28,成本费用取值表!$D$28)*IF(基本信息!#REF!="自主运维",1,0)</f>
        <v>#REF!</v>
      </c>
      <c r="F37" s="51" t="e">
        <f>IF(COLUMN()-3&lt;=成本费用取值表!$H$14,成本费用取值表!$C$28,成本费用取值表!$D$28)*IF(基本信息!#REF!="自主运维",1,0)</f>
        <v>#REF!</v>
      </c>
      <c r="G37" s="51" t="e">
        <f>IF(COLUMN()-3&lt;=成本费用取值表!$H$14,成本费用取值表!$C$28,成本费用取值表!$D$28)*IF(基本信息!#REF!="自主运维",1,0)</f>
        <v>#REF!</v>
      </c>
      <c r="H37" s="51" t="e">
        <f>IF(COLUMN()-3&lt;=成本费用取值表!$H$14,成本费用取值表!$C$28,成本费用取值表!$D$28)*IF(基本信息!#REF!="自主运维",1,0)</f>
        <v>#REF!</v>
      </c>
      <c r="I37" s="51" t="e">
        <f>IF(COLUMN()-3&lt;=成本费用取值表!$H$14,成本费用取值表!$C$28,成本费用取值表!$D$28)*IF(基本信息!#REF!="自主运维",1,0)</f>
        <v>#REF!</v>
      </c>
      <c r="J37" s="51" t="e">
        <f>IF(COLUMN()-3&lt;=成本费用取值表!$H$14,成本费用取值表!$C$28,成本费用取值表!$D$28)*IF(基本信息!#REF!="自主运维",1,0)</f>
        <v>#REF!</v>
      </c>
      <c r="K37" s="51" t="e">
        <f>IF(COLUMN()-3&lt;=成本费用取值表!$H$14,成本费用取值表!$C$28,成本费用取值表!$D$28)*IF(基本信息!#REF!="自主运维",1,0)</f>
        <v>#REF!</v>
      </c>
      <c r="L37" s="51" t="e">
        <f>IF(COLUMN()-3&lt;=成本费用取值表!$H$14,成本费用取值表!$C$28,成本费用取值表!$D$28)*IF(基本信息!#REF!="自主运维",1,0)</f>
        <v>#REF!</v>
      </c>
      <c r="M37" s="51" t="e">
        <f>IF(COLUMN()-3&lt;=成本费用取值表!$H$14,成本费用取值表!$C$28,成本费用取值表!$D$28)*IF(基本信息!#REF!="自主运维",1,0)</f>
        <v>#REF!</v>
      </c>
      <c r="N37" s="51" t="e">
        <f>IF(COLUMN()-3&lt;=成本费用取值表!$H$14,成本费用取值表!$C$28,成本费用取值表!$D$28)*IF(基本信息!#REF!="自主运维",1,0)</f>
        <v>#REF!</v>
      </c>
      <c r="O37" s="51" t="e">
        <f>IF(COLUMN()-3&lt;=成本费用取值表!$H$14,成本费用取值表!$C$28,成本费用取值表!$D$28)*IF(基本信息!#REF!="自主运维",1,0)</f>
        <v>#REF!</v>
      </c>
      <c r="P37" s="51" t="e">
        <f>IF(COLUMN()-3&lt;=成本费用取值表!$H$14,成本费用取值表!$C$28,成本费用取值表!$D$28)*IF(基本信息!#REF!="自主运维",1,0)</f>
        <v>#REF!</v>
      </c>
      <c r="Q37" s="51" t="e">
        <f>IF(COLUMN()-3&lt;=成本费用取值表!$H$14,成本费用取值表!$C$28,成本费用取值表!$D$28)*IF(基本信息!#REF!="自主运维",1,0)</f>
        <v>#REF!</v>
      </c>
      <c r="R37" s="51" t="e">
        <f>IF(COLUMN()-3&lt;=成本费用取值表!$H$14,成本费用取值表!$C$28,成本费用取值表!$D$28)*IF(基本信息!#REF!="自主运维",1,0)</f>
        <v>#REF!</v>
      </c>
      <c r="S37" s="51" t="e">
        <f>IF(COLUMN()-3&lt;=成本费用取值表!$H$14,成本费用取值表!$C$28,成本费用取值表!$D$28)*IF(基本信息!#REF!="自主运维",1,0)</f>
        <v>#REF!</v>
      </c>
      <c r="T37" s="51" t="e">
        <f>IF(COLUMN()-3&lt;=成本费用取值表!$H$14,成本费用取值表!$C$28,成本费用取值表!$D$28)*IF(基本信息!#REF!="自主运维",1,0)</f>
        <v>#REF!</v>
      </c>
      <c r="U37" s="51" t="e">
        <f>IF(COLUMN()-3&lt;=成本费用取值表!$H$14,成本费用取值表!$C$28,成本费用取值表!$D$28)*IF(基本信息!#REF!="自主运维",1,0)</f>
        <v>#REF!</v>
      </c>
      <c r="V37" s="51" t="e">
        <f>IF(COLUMN()-3&lt;=成本费用取值表!$H$14,成本费用取值表!$C$28,成本费用取值表!$D$28)*IF(基本信息!#REF!="自主运维",1,0)</f>
        <v>#REF!</v>
      </c>
      <c r="W37" s="51" t="e">
        <f>IF(COLUMN()-3&lt;=成本费用取值表!$H$14,成本费用取值表!$C$28,成本费用取值表!$D$28)*IF(基本信息!#REF!="自主运维",1,0)</f>
        <v>#REF!</v>
      </c>
      <c r="X37" s="51" t="e">
        <f>IF(COLUMN()-3&lt;=成本费用取值表!$H$14,成本费用取值表!$C$28,成本费用取值表!$D$28)*IF(基本信息!#REF!="自主运维",1,0)</f>
        <v>#REF!</v>
      </c>
      <c r="Y37" s="51" t="e">
        <f>IF(COLUMN()-3&lt;=成本费用取值表!$H$14,成本费用取值表!$C$28,成本费用取值表!$D$28)*IF(基本信息!#REF!="自主运维",1,0)</f>
        <v>#REF!</v>
      </c>
      <c r="Z37" s="51" t="e">
        <f>IF(COLUMN()-3&lt;=成本费用取值表!$H$14,成本费用取值表!$C$28,成本费用取值表!$D$28)*IF(基本信息!#REF!="自主运维",1,0)</f>
        <v>#REF!</v>
      </c>
      <c r="AA37" s="51" t="e">
        <f>IF(COLUMN()-3&lt;=成本费用取值表!$H$14,成本费用取值表!$C$28,成本费用取值表!$D$28)*IF(基本信息!#REF!="自主运维",1,0)</f>
        <v>#REF!</v>
      </c>
      <c r="AB37" s="51" t="e">
        <f>IF(COLUMN()-3&lt;=成本费用取值表!$H$14,成本费用取值表!$C$28,成本费用取值表!$D$28)*IF(基本信息!#REF!="自主运维",1,0)</f>
        <v>#REF!</v>
      </c>
    </row>
    <row r="38" ht="15" customHeight="1" spans="1:28">
      <c r="A38" s="117"/>
      <c r="B38" s="122" t="s">
        <v>24</v>
      </c>
      <c r="C38" s="124"/>
      <c r="D38" s="124" t="e">
        <f>D37*基本参数!$B$7/10</f>
        <v>#REF!</v>
      </c>
      <c r="E38" s="124" t="e">
        <f>E37*基本参数!$B$7/10</f>
        <v>#REF!</v>
      </c>
      <c r="F38" s="124" t="e">
        <f>F37*基本参数!$B$7/10</f>
        <v>#REF!</v>
      </c>
      <c r="G38" s="124" t="e">
        <f>G37*基本参数!$B$7/10</f>
        <v>#REF!</v>
      </c>
      <c r="H38" s="124" t="e">
        <f>H37*基本参数!$B$7/10</f>
        <v>#REF!</v>
      </c>
      <c r="I38" s="124" t="e">
        <f>I37*基本参数!$B$7/10</f>
        <v>#REF!</v>
      </c>
      <c r="J38" s="124" t="e">
        <f>J37*基本参数!$B$7/10</f>
        <v>#REF!</v>
      </c>
      <c r="K38" s="124" t="e">
        <f>K37*基本参数!$B$7/10</f>
        <v>#REF!</v>
      </c>
      <c r="L38" s="124" t="e">
        <f>L37*基本参数!$B$7/10</f>
        <v>#REF!</v>
      </c>
      <c r="M38" s="124" t="e">
        <f>M37*基本参数!$B$7/10</f>
        <v>#REF!</v>
      </c>
      <c r="N38" s="124" t="e">
        <f>N37*基本参数!$B$7/10</f>
        <v>#REF!</v>
      </c>
      <c r="O38" s="124" t="e">
        <f>O37*基本参数!$B$7/10</f>
        <v>#REF!</v>
      </c>
      <c r="P38" s="124" t="e">
        <f>P37*基本参数!$B$7/10</f>
        <v>#REF!</v>
      </c>
      <c r="Q38" s="124" t="e">
        <f>Q37*基本参数!$B$7/10</f>
        <v>#REF!</v>
      </c>
      <c r="R38" s="124" t="e">
        <f>R37*基本参数!$B$7/10</f>
        <v>#REF!</v>
      </c>
      <c r="S38" s="124" t="e">
        <f>S37*基本参数!$B$7/10</f>
        <v>#REF!</v>
      </c>
      <c r="T38" s="124" t="e">
        <f>T37*基本参数!$B$7/10</f>
        <v>#REF!</v>
      </c>
      <c r="U38" s="124" t="e">
        <f>U37*基本参数!$B$7/10</f>
        <v>#REF!</v>
      </c>
      <c r="V38" s="124" t="e">
        <f>V37*基本参数!$B$7/10</f>
        <v>#REF!</v>
      </c>
      <c r="W38" s="124" t="e">
        <f>W37*基本参数!$B$7/10</f>
        <v>#REF!</v>
      </c>
      <c r="X38" s="124" t="e">
        <f>X37*基本参数!$B$7/10</f>
        <v>#REF!</v>
      </c>
      <c r="Y38" s="124" t="e">
        <f>Y37*基本参数!$B$7/10</f>
        <v>#REF!</v>
      </c>
      <c r="Z38" s="124" t="e">
        <f>Z37*基本参数!$B$7/10</f>
        <v>#REF!</v>
      </c>
      <c r="AA38" s="124" t="e">
        <f>AA37*基本参数!$B$7/10</f>
        <v>#REF!</v>
      </c>
      <c r="AB38" s="124" t="e">
        <f>AB37*基本参数!$B$7/10</f>
        <v>#REF!</v>
      </c>
    </row>
    <row r="39" ht="15" customHeight="1" spans="1:28">
      <c r="A39" s="117" t="s">
        <v>305</v>
      </c>
      <c r="B39" s="122" t="s">
        <v>24</v>
      </c>
      <c r="C39" s="146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ht="15" customHeight="1" spans="1:28">
      <c r="A40" s="117" t="s">
        <v>374</v>
      </c>
      <c r="B40" s="122" t="s">
        <v>24</v>
      </c>
      <c r="C40" s="146"/>
      <c r="D40" s="146" t="e">
        <f>IF($C$35="按比例",D38,D39)*IF(OR(基本参数!$B$2&lt;=COLUMN()-3,COLUMN()-3&lt;基本参数!$B$3),0,1)</f>
        <v>#REF!</v>
      </c>
      <c r="E40" s="146" t="e">
        <f>IF($C$35="按比例",E38,E39)*IF(OR(基本参数!$B$2&lt;=COLUMN()-3,COLUMN()-3&lt;基本参数!$B$3),0,1)</f>
        <v>#REF!</v>
      </c>
      <c r="F40" s="146" t="e">
        <f>IF($C$35="按比例",F38,F39)*IF(OR(基本参数!$B$2&lt;=COLUMN()-3,COLUMN()-3&lt;基本参数!$B$3),0,1)</f>
        <v>#REF!</v>
      </c>
      <c r="G40" s="146" t="e">
        <f>IF($C$35="按比例",G38,G39)*IF(OR(基本参数!$B$2&lt;=COLUMN()-3,COLUMN()-3&lt;基本参数!$B$3),0,1)</f>
        <v>#REF!</v>
      </c>
      <c r="H40" s="146" t="e">
        <f>IF($C$35="按比例",H38,H39)*IF(OR(基本参数!$B$2&lt;=COLUMN()-3,COLUMN()-3&lt;基本参数!$B$3),0,1)</f>
        <v>#REF!</v>
      </c>
      <c r="I40" s="146" t="e">
        <f>IF($C$35="按比例",I38,I39)*IF(OR(基本参数!$B$2&lt;=COLUMN()-3,COLUMN()-3&lt;基本参数!$B$3),0,1)</f>
        <v>#REF!</v>
      </c>
      <c r="J40" s="146" t="e">
        <f>IF($C$35="按比例",J38,J39)*IF(OR(基本参数!$B$2&lt;=COLUMN()-3,COLUMN()-3&lt;基本参数!$B$3),0,1)</f>
        <v>#REF!</v>
      </c>
      <c r="K40" s="146" t="e">
        <f>IF($C$35="按比例",K38,K39)*IF(OR(基本参数!$B$2&lt;=COLUMN()-3,COLUMN()-3&lt;基本参数!$B$3),0,1)</f>
        <v>#REF!</v>
      </c>
      <c r="L40" s="146" t="e">
        <f>IF($C$35="按比例",L38,L39)*IF(OR(基本参数!$B$2&lt;=COLUMN()-3,COLUMN()-3&lt;基本参数!$B$3),0,1)</f>
        <v>#REF!</v>
      </c>
      <c r="M40" s="146" t="e">
        <f>IF($C$35="按比例",M38,M39)*IF(OR(基本参数!$B$2&lt;=COLUMN()-3,COLUMN()-3&lt;基本参数!$B$3),0,1)</f>
        <v>#REF!</v>
      </c>
      <c r="N40" s="146" t="e">
        <f>IF($C$35="按比例",N38,N39)*IF(OR(基本参数!$B$2&lt;=COLUMN()-3,COLUMN()-3&lt;基本参数!$B$3),0,1)</f>
        <v>#REF!</v>
      </c>
      <c r="O40" s="146" t="e">
        <f>IF($C$35="按比例",O38,O39)*IF(OR(基本参数!$B$2&lt;=COLUMN()-3,COLUMN()-3&lt;基本参数!$B$3),0,1)</f>
        <v>#REF!</v>
      </c>
      <c r="P40" s="146" t="e">
        <f>IF($C$35="按比例",P38,P39)*IF(OR(基本参数!$B$2&lt;=COLUMN()-3,COLUMN()-3&lt;基本参数!$B$3),0,1)</f>
        <v>#REF!</v>
      </c>
      <c r="Q40" s="146" t="e">
        <f>IF($C$35="按比例",Q38,Q39)*IF(OR(基本参数!$B$2&lt;=COLUMN()-3,COLUMN()-3&lt;基本参数!$B$3),0,1)</f>
        <v>#REF!</v>
      </c>
      <c r="R40" s="146" t="e">
        <f>IF($C$35="按比例",R38,R39)*IF(OR(基本参数!$B$2&lt;=COLUMN()-3,COLUMN()-3&lt;基本参数!$B$3),0,1)</f>
        <v>#REF!</v>
      </c>
      <c r="S40" s="146" t="e">
        <f>IF($C$35="按比例",S38,S39)*IF(OR(基本参数!$B$2&lt;=COLUMN()-3,COLUMN()-3&lt;基本参数!$B$3),0,1)</f>
        <v>#REF!</v>
      </c>
      <c r="T40" s="146" t="e">
        <f>IF($C$35="按比例",T38,T39)*IF(OR(基本参数!$B$2&lt;=COLUMN()-3,COLUMN()-3&lt;基本参数!$B$3),0,1)</f>
        <v>#REF!</v>
      </c>
      <c r="U40" s="146" t="e">
        <f>IF($C$35="按比例",U38,U39)*IF(OR(基本参数!$B$2&lt;=COLUMN()-3,COLUMN()-3&lt;基本参数!$B$3),0,1)</f>
        <v>#REF!</v>
      </c>
      <c r="V40" s="146" t="e">
        <f>IF($C$35="按比例",V38,V39)*IF(OR(基本参数!$B$2&lt;=COLUMN()-3,COLUMN()-3&lt;基本参数!$B$3),0,1)</f>
        <v>#REF!</v>
      </c>
      <c r="W40" s="146" t="e">
        <f>IF($C$35="按比例",W38,W39)*IF(OR(基本参数!$B$2&lt;=COLUMN()-3,COLUMN()-3&lt;基本参数!$B$3),0,1)</f>
        <v>#REF!</v>
      </c>
      <c r="X40" s="146" t="e">
        <f>IF($C$35="按比例",X38,X39)*IF(OR(基本参数!$B$2&lt;=COLUMN()-3,COLUMN()-3&lt;基本参数!$B$3),0,1)</f>
        <v>#REF!</v>
      </c>
      <c r="Y40" s="146" t="e">
        <f>IF($C$35="按比例",Y38,Y39)*IF(OR(基本参数!$B$2&lt;=COLUMN()-3,COLUMN()-3&lt;基本参数!$B$3),0,1)</f>
        <v>#REF!</v>
      </c>
      <c r="Z40" s="146" t="e">
        <f>IF($C$35="按比例",Z38,Z39)*IF(OR(基本参数!$B$2&lt;=COLUMN()-3,COLUMN()-3&lt;基本参数!$B$3),0,1)</f>
        <v>#REF!</v>
      </c>
      <c r="AA40" s="146" t="e">
        <f>IF($C$35="按比例",AA38,AA39)*IF(OR(基本参数!$B$2&lt;=COLUMN()-3,COLUMN()-3&lt;基本参数!$B$3),0,1)</f>
        <v>#REF!</v>
      </c>
      <c r="AB40" s="146" t="e">
        <f>IF($C$35="按比例",AB38,AB39)*IF(OR(基本参数!$B$2&lt;=COLUMN()-3,COLUMN()-3&lt;基本参数!$B$3),0,1)</f>
        <v>#REF!</v>
      </c>
    </row>
    <row r="41" ht="15" customHeight="1" spans="1:28">
      <c r="A41" s="114" t="s">
        <v>193</v>
      </c>
      <c r="B41" s="114"/>
      <c r="C41" s="155"/>
      <c r="D41" s="156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</row>
    <row r="42" ht="15" customHeight="1" spans="1:28">
      <c r="A42" s="122" t="s">
        <v>350</v>
      </c>
      <c r="B42" s="122"/>
      <c r="C42" s="25" t="s">
        <v>358</v>
      </c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</row>
    <row r="43" ht="15" customHeight="1" spans="1:28">
      <c r="A43" s="117"/>
      <c r="B43" s="122" t="s">
        <v>277</v>
      </c>
      <c r="C43" s="157" t="s">
        <v>278</v>
      </c>
      <c r="D43" s="157" t="s">
        <v>279</v>
      </c>
      <c r="E43" s="157" t="s">
        <v>280</v>
      </c>
      <c r="F43" s="157" t="s">
        <v>281</v>
      </c>
      <c r="G43" s="157" t="s">
        <v>282</v>
      </c>
      <c r="H43" s="157" t="s">
        <v>327</v>
      </c>
      <c r="I43" s="157" t="s">
        <v>328</v>
      </c>
      <c r="J43" s="157" t="s">
        <v>329</v>
      </c>
      <c r="K43" s="157" t="s">
        <v>330</v>
      </c>
      <c r="L43" s="157" t="s">
        <v>331</v>
      </c>
      <c r="M43" s="157" t="s">
        <v>332</v>
      </c>
      <c r="N43" s="157" t="s">
        <v>333</v>
      </c>
      <c r="O43" s="157" t="s">
        <v>334</v>
      </c>
      <c r="P43" s="157" t="s">
        <v>335</v>
      </c>
      <c r="Q43" s="157" t="s">
        <v>336</v>
      </c>
      <c r="R43" s="157" t="s">
        <v>337</v>
      </c>
      <c r="S43" s="157" t="s">
        <v>338</v>
      </c>
      <c r="T43" s="157" t="s">
        <v>339</v>
      </c>
      <c r="U43" s="157" t="s">
        <v>340</v>
      </c>
      <c r="V43" s="157" t="s">
        <v>341</v>
      </c>
      <c r="W43" s="157" t="s">
        <v>342</v>
      </c>
      <c r="X43" s="157" t="s">
        <v>343</v>
      </c>
      <c r="Y43" s="157" t="s">
        <v>344</v>
      </c>
      <c r="Z43" s="157" t="s">
        <v>345</v>
      </c>
      <c r="AA43" s="157" t="s">
        <v>346</v>
      </c>
      <c r="AB43" s="157" t="s">
        <v>347</v>
      </c>
    </row>
    <row r="44" ht="15" customHeight="1" spans="1:28">
      <c r="A44" s="158" t="s">
        <v>358</v>
      </c>
      <c r="B44" s="122" t="s">
        <v>360</v>
      </c>
      <c r="C44" s="124"/>
      <c r="D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E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F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G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H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I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J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K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L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M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N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O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P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Q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R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S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T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U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V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W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X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Y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Z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AA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  <c r="AB44" s="51" t="e">
        <f>_xlfn.IFS(COLUMN()-3&lt;=5,成本费用取值表!$C$47,COLUMN()-3&lt;=10,成本费用取值表!$D$47,COLUMN()-3&lt;=15,成本费用取值表!$E$47,COLUMN()-3&lt;=20,成本费用取值表!$F$47,COLUMN()-3&gt;20,成本费用取值表!$G$47)*IF(基本信息!#REF!="委托运维",1,0)</f>
        <v>#DIV/0!</v>
      </c>
    </row>
    <row r="45" ht="15" customHeight="1" spans="1:28">
      <c r="A45" s="117"/>
      <c r="B45" s="122" t="s">
        <v>24</v>
      </c>
      <c r="C45" s="124"/>
      <c r="D45" s="124" t="e">
        <f>D44*基本参数!$B$6/10</f>
        <v>#DIV/0!</v>
      </c>
      <c r="E45" s="124" t="e">
        <f>E44*基本参数!$B$6/10</f>
        <v>#DIV/0!</v>
      </c>
      <c r="F45" s="124" t="e">
        <f>F44*基本参数!$B$6/10</f>
        <v>#DIV/0!</v>
      </c>
      <c r="G45" s="124" t="e">
        <f>G44*基本参数!$B$6/10</f>
        <v>#DIV/0!</v>
      </c>
      <c r="H45" s="124" t="e">
        <f>H44*基本参数!$B$6/10</f>
        <v>#DIV/0!</v>
      </c>
      <c r="I45" s="124" t="e">
        <f>I44*基本参数!$B$6/10</f>
        <v>#DIV/0!</v>
      </c>
      <c r="J45" s="124" t="e">
        <f>J44*基本参数!$B$6/10</f>
        <v>#DIV/0!</v>
      </c>
      <c r="K45" s="124" t="e">
        <f>K44*基本参数!$B$6/10</f>
        <v>#DIV/0!</v>
      </c>
      <c r="L45" s="124" t="e">
        <f>L44*基本参数!$B$6/10</f>
        <v>#DIV/0!</v>
      </c>
      <c r="M45" s="124" t="e">
        <f>M44*基本参数!$B$6/10</f>
        <v>#DIV/0!</v>
      </c>
      <c r="N45" s="124" t="e">
        <f>N44*基本参数!$B$6/10</f>
        <v>#DIV/0!</v>
      </c>
      <c r="O45" s="124" t="e">
        <f>O44*基本参数!$B$6/10</f>
        <v>#DIV/0!</v>
      </c>
      <c r="P45" s="124" t="e">
        <f>P44*基本参数!$B$6/10</f>
        <v>#DIV/0!</v>
      </c>
      <c r="Q45" s="124" t="e">
        <f>Q44*基本参数!$B$6/10</f>
        <v>#DIV/0!</v>
      </c>
      <c r="R45" s="124" t="e">
        <f>R44*基本参数!$B$6/10</f>
        <v>#DIV/0!</v>
      </c>
      <c r="S45" s="124" t="e">
        <f>S44*基本参数!$B$6/10</f>
        <v>#DIV/0!</v>
      </c>
      <c r="T45" s="124" t="e">
        <f>T44*基本参数!$B$6/10</f>
        <v>#DIV/0!</v>
      </c>
      <c r="U45" s="124" t="e">
        <f>U44*基本参数!$B$6/10</f>
        <v>#DIV/0!</v>
      </c>
      <c r="V45" s="124" t="e">
        <f>V44*基本参数!$B$6/10</f>
        <v>#DIV/0!</v>
      </c>
      <c r="W45" s="124" t="e">
        <f>W44*基本参数!$B$6/10</f>
        <v>#DIV/0!</v>
      </c>
      <c r="X45" s="124" t="e">
        <f>X44*基本参数!$B$6/10</f>
        <v>#DIV/0!</v>
      </c>
      <c r="Y45" s="124" t="e">
        <f>Y44*基本参数!$B$6/10</f>
        <v>#DIV/0!</v>
      </c>
      <c r="Z45" s="124" t="e">
        <f>Z44*基本参数!$B$6/10</f>
        <v>#DIV/0!</v>
      </c>
      <c r="AA45" s="124" t="e">
        <f>AA44*基本参数!$B$6/10</f>
        <v>#DIV/0!</v>
      </c>
      <c r="AB45" s="124" t="e">
        <f>AB44*基本参数!$B$6/10</f>
        <v>#DIV/0!</v>
      </c>
    </row>
    <row r="46" ht="15" customHeight="1" spans="1:28">
      <c r="A46" s="117" t="s">
        <v>305</v>
      </c>
      <c r="B46" s="122" t="s">
        <v>24</v>
      </c>
      <c r="C46" s="14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 ht="15" customHeight="1" spans="1:28">
      <c r="A47" s="117" t="s">
        <v>375</v>
      </c>
      <c r="B47" s="122" t="s">
        <v>24</v>
      </c>
      <c r="C47" s="146"/>
      <c r="D47" s="146" t="e">
        <f>IF($C$42="按比例",D45,D46)*IF(OR(基本参数!$B$2&lt;=COLUMN()-3,COLUMN()-3&lt;基本参数!$B$3),0,1)</f>
        <v>#DIV/0!</v>
      </c>
      <c r="E47" s="146" t="e">
        <f>IF($C$42="按比例",E45,E46)*IF(OR(基本参数!$B$2&lt;=COLUMN()-3,COLUMN()-3&lt;基本参数!$B$3),0,1)</f>
        <v>#DIV/0!</v>
      </c>
      <c r="F47" s="146" t="e">
        <f>IF($C$42="按比例",F45,F46)*IF(OR(基本参数!$B$2&lt;=COLUMN()-3,COLUMN()-3&lt;基本参数!$B$3),0,1)</f>
        <v>#DIV/0!</v>
      </c>
      <c r="G47" s="146" t="e">
        <f>IF($C$42="按比例",G45,G46)*IF(OR(基本参数!$B$2&lt;=COLUMN()-3,COLUMN()-3&lt;基本参数!$B$3),0,1)</f>
        <v>#DIV/0!</v>
      </c>
      <c r="H47" s="146" t="e">
        <f>IF($C$42="按比例",H45,H46)*IF(OR(基本参数!$B$2&lt;=COLUMN()-3,COLUMN()-3&lt;基本参数!$B$3),0,1)</f>
        <v>#DIV/0!</v>
      </c>
      <c r="I47" s="146" t="e">
        <f>IF($C$42="按比例",I45,I46)*IF(OR(基本参数!$B$2&lt;=COLUMN()-3,COLUMN()-3&lt;基本参数!$B$3),0,1)</f>
        <v>#DIV/0!</v>
      </c>
      <c r="J47" s="146" t="e">
        <f>IF($C$42="按比例",J45,J46)*IF(OR(基本参数!$B$2&lt;=COLUMN()-3,COLUMN()-3&lt;基本参数!$B$3),0,1)</f>
        <v>#DIV/0!</v>
      </c>
      <c r="K47" s="146" t="e">
        <f>IF($C$42="按比例",K45,K46)*IF(OR(基本参数!$B$2&lt;=COLUMN()-3,COLUMN()-3&lt;基本参数!$B$3),0,1)</f>
        <v>#DIV/0!</v>
      </c>
      <c r="L47" s="146" t="e">
        <f>IF($C$42="按比例",L45,L46)*IF(OR(基本参数!$B$2&lt;=COLUMN()-3,COLUMN()-3&lt;基本参数!$B$3),0,1)</f>
        <v>#DIV/0!</v>
      </c>
      <c r="M47" s="146" t="e">
        <f>IF($C$42="按比例",M45,M46)*IF(OR(基本参数!$B$2&lt;=COLUMN()-3,COLUMN()-3&lt;基本参数!$B$3),0,1)</f>
        <v>#DIV/0!</v>
      </c>
      <c r="N47" s="146" t="e">
        <f>IF($C$42="按比例",N45,N46)*IF(OR(基本参数!$B$2&lt;=COLUMN()-3,COLUMN()-3&lt;基本参数!$B$3),0,1)</f>
        <v>#DIV/0!</v>
      </c>
      <c r="O47" s="146" t="e">
        <f>IF($C$42="按比例",O45,O46)*IF(OR(基本参数!$B$2&lt;=COLUMN()-3,COLUMN()-3&lt;基本参数!$B$3),0,1)</f>
        <v>#DIV/0!</v>
      </c>
      <c r="P47" s="146" t="e">
        <f>IF($C$42="按比例",P45,P46)*IF(OR(基本参数!$B$2&lt;=COLUMN()-3,COLUMN()-3&lt;基本参数!$B$3),0,1)</f>
        <v>#DIV/0!</v>
      </c>
      <c r="Q47" s="146" t="e">
        <f>IF($C$42="按比例",Q45,Q46)*IF(OR(基本参数!$B$2&lt;=COLUMN()-3,COLUMN()-3&lt;基本参数!$B$3),0,1)</f>
        <v>#DIV/0!</v>
      </c>
      <c r="R47" s="146" t="e">
        <f>IF($C$42="按比例",R45,R46)*IF(OR(基本参数!$B$2&lt;=COLUMN()-3,COLUMN()-3&lt;基本参数!$B$3),0,1)</f>
        <v>#DIV/0!</v>
      </c>
      <c r="S47" s="146" t="e">
        <f>IF($C$42="按比例",S45,S46)*IF(OR(基本参数!$B$2&lt;=COLUMN()-3,COLUMN()-3&lt;基本参数!$B$3),0,1)</f>
        <v>#DIV/0!</v>
      </c>
      <c r="T47" s="146" t="e">
        <f>IF($C$42="按比例",T45,T46)*IF(OR(基本参数!$B$2&lt;=COLUMN()-3,COLUMN()-3&lt;基本参数!$B$3),0,1)</f>
        <v>#DIV/0!</v>
      </c>
      <c r="U47" s="146" t="e">
        <f>IF($C$42="按比例",U45,U46)*IF(OR(基本参数!$B$2&lt;=COLUMN()-3,COLUMN()-3&lt;基本参数!$B$3),0,1)</f>
        <v>#DIV/0!</v>
      </c>
      <c r="V47" s="146" t="e">
        <f>IF($C$42="按比例",V45,V46)*IF(OR(基本参数!$B$2&lt;=COLUMN()-3,COLUMN()-3&lt;基本参数!$B$3),0,1)</f>
        <v>#DIV/0!</v>
      </c>
      <c r="W47" s="146" t="e">
        <f>IF($C$42="按比例",W45,W46)*IF(OR(基本参数!$B$2&lt;=COLUMN()-3,COLUMN()-3&lt;基本参数!$B$3),0,1)</f>
        <v>#DIV/0!</v>
      </c>
      <c r="X47" s="146" t="e">
        <f>IF($C$42="按比例",X45,X46)*IF(OR(基本参数!$B$2&lt;=COLUMN()-3,COLUMN()-3&lt;基本参数!$B$3),0,1)</f>
        <v>#DIV/0!</v>
      </c>
      <c r="Y47" s="146" t="e">
        <f>IF($C$42="按比例",Y45,Y46)*IF(OR(基本参数!$B$2&lt;=COLUMN()-3,COLUMN()-3&lt;基本参数!$B$3),0,1)</f>
        <v>#DIV/0!</v>
      </c>
      <c r="Z47" s="146" t="e">
        <f>IF($C$42="按比例",Z45,Z46)*IF(OR(基本参数!$B$2&lt;=COLUMN()-3,COLUMN()-3&lt;基本参数!$B$3),0,1)</f>
        <v>#DIV/0!</v>
      </c>
      <c r="AA47" s="146" t="e">
        <f>IF($C$42="按比例",AA45,AA46)*IF(OR(基本参数!$B$2&lt;=COLUMN()-3,COLUMN()-3&lt;基本参数!$B$3),0,1)</f>
        <v>#DIV/0!</v>
      </c>
      <c r="AB47" s="146" t="e">
        <f>IF($C$42="按比例",AB45,AB46)*IF(OR(基本参数!$B$2&lt;=COLUMN()-3,COLUMN()-3&lt;基本参数!$B$3),0,1)</f>
        <v>#DIV/0!</v>
      </c>
    </row>
    <row r="48" ht="15" customHeight="1" spans="1:28">
      <c r="A48" s="114" t="s">
        <v>376</v>
      </c>
      <c r="B48" s="114"/>
      <c r="C48" s="155"/>
      <c r="D48" s="156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</row>
    <row r="49" ht="15" customHeight="1" spans="1:28">
      <c r="A49" s="122" t="s">
        <v>350</v>
      </c>
      <c r="B49" s="122"/>
      <c r="C49" s="25" t="s">
        <v>363</v>
      </c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</row>
    <row r="50" ht="15" customHeight="1" spans="1:28">
      <c r="A50" s="117"/>
      <c r="B50" s="122" t="s">
        <v>277</v>
      </c>
      <c r="C50" s="157" t="s">
        <v>278</v>
      </c>
      <c r="D50" s="157" t="s">
        <v>279</v>
      </c>
      <c r="E50" s="157" t="s">
        <v>280</v>
      </c>
      <c r="F50" s="157" t="s">
        <v>281</v>
      </c>
      <c r="G50" s="157" t="s">
        <v>282</v>
      </c>
      <c r="H50" s="157" t="s">
        <v>327</v>
      </c>
      <c r="I50" s="157" t="s">
        <v>328</v>
      </c>
      <c r="J50" s="157" t="s">
        <v>329</v>
      </c>
      <c r="K50" s="157" t="s">
        <v>330</v>
      </c>
      <c r="L50" s="157" t="s">
        <v>331</v>
      </c>
      <c r="M50" s="157" t="s">
        <v>332</v>
      </c>
      <c r="N50" s="157" t="s">
        <v>333</v>
      </c>
      <c r="O50" s="157" t="s">
        <v>334</v>
      </c>
      <c r="P50" s="157" t="s">
        <v>335</v>
      </c>
      <c r="Q50" s="157" t="s">
        <v>336</v>
      </c>
      <c r="R50" s="157" t="s">
        <v>337</v>
      </c>
      <c r="S50" s="157" t="s">
        <v>338</v>
      </c>
      <c r="T50" s="157" t="s">
        <v>339</v>
      </c>
      <c r="U50" s="157" t="s">
        <v>340</v>
      </c>
      <c r="V50" s="157" t="s">
        <v>341</v>
      </c>
      <c r="W50" s="157" t="s">
        <v>342</v>
      </c>
      <c r="X50" s="157" t="s">
        <v>343</v>
      </c>
      <c r="Y50" s="157" t="s">
        <v>344</v>
      </c>
      <c r="Z50" s="157" t="s">
        <v>345</v>
      </c>
      <c r="AA50" s="157" t="s">
        <v>346</v>
      </c>
      <c r="AB50" s="157" t="s">
        <v>347</v>
      </c>
    </row>
    <row r="51" ht="15" customHeight="1" spans="1:28">
      <c r="A51" s="158" t="s">
        <v>377</v>
      </c>
      <c r="B51" s="122" t="s">
        <v>270</v>
      </c>
      <c r="C51" s="70">
        <v>5</v>
      </c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</row>
    <row r="52" ht="15" customHeight="1" spans="1:28">
      <c r="A52" s="117"/>
      <c r="B52" s="122" t="s">
        <v>24</v>
      </c>
      <c r="C52" s="124"/>
      <c r="D52" s="128">
        <f>IF(COLUMN()-3&lt;=$C$51,基本参数!$B$13/$C$51,0)</f>
        <v>0</v>
      </c>
      <c r="E52" s="128">
        <f>IF(COLUMN()-3&lt;=$C$51,基本参数!$B$13/$C$51,0)</f>
        <v>0</v>
      </c>
      <c r="F52" s="128">
        <f>IF(COLUMN()-3&lt;=$C$51,基本参数!$B$13/$C$51,0)</f>
        <v>0</v>
      </c>
      <c r="G52" s="128">
        <f>IF(COLUMN()-3&lt;=$C$51,基本参数!$B$13/$C$51,0)</f>
        <v>0</v>
      </c>
      <c r="H52" s="128">
        <f>IF(COLUMN()-3&lt;=$C$51,基本参数!$B$13/$C$51,0)</f>
        <v>0</v>
      </c>
      <c r="I52" s="128">
        <f>IF(COLUMN()-3&lt;=$C$51,基本参数!$B$13/$C$51,0)</f>
        <v>0</v>
      </c>
      <c r="J52" s="128">
        <f>IF(COLUMN()-3&lt;=$C$51,基本参数!$B$13/$C$51,0)</f>
        <v>0</v>
      </c>
      <c r="K52" s="128">
        <f>IF(COLUMN()-3&lt;=$C$51,基本参数!$B$13/$C$51,0)</f>
        <v>0</v>
      </c>
      <c r="L52" s="128">
        <f>IF(COLUMN()-3&lt;=$C$51,基本参数!$B$13/$C$51,0)</f>
        <v>0</v>
      </c>
      <c r="M52" s="128">
        <f>IF(COLUMN()-3&lt;=$C$51,基本参数!$B$13/$C$51,0)</f>
        <v>0</v>
      </c>
      <c r="N52" s="128">
        <f>IF(COLUMN()-3&lt;=$C$51,基本参数!$B$13/$C$51,0)</f>
        <v>0</v>
      </c>
      <c r="O52" s="128">
        <f>IF(COLUMN()-3&lt;=$C$51,基本参数!$B$13/$C$51,0)</f>
        <v>0</v>
      </c>
      <c r="P52" s="128">
        <f>IF(COLUMN()-3&lt;=$C$51,基本参数!$B$13/$C$51,0)</f>
        <v>0</v>
      </c>
      <c r="Q52" s="128">
        <f>IF(COLUMN()-3&lt;=$C$51,基本参数!$B$13/$C$51,0)</f>
        <v>0</v>
      </c>
      <c r="R52" s="128">
        <f>IF(COLUMN()-3&lt;=$C$51,基本参数!$B$13/$C$51,0)</f>
        <v>0</v>
      </c>
      <c r="S52" s="128">
        <f>IF(COLUMN()-3&lt;=$C$51,基本参数!$B$13/$C$51,0)</f>
        <v>0</v>
      </c>
      <c r="T52" s="128">
        <f>IF(COLUMN()-3&lt;=$C$51,基本参数!$B$13/$C$51,0)</f>
        <v>0</v>
      </c>
      <c r="U52" s="128">
        <f>IF(COLUMN()-3&lt;=$C$51,基本参数!$B$13/$C$51,0)</f>
        <v>0</v>
      </c>
      <c r="V52" s="128">
        <f>IF(COLUMN()-3&lt;=$C$51,基本参数!$B$13/$C$51,0)</f>
        <v>0</v>
      </c>
      <c r="W52" s="128">
        <f>IF(COLUMN()-3&lt;=$C$51,基本参数!$B$13/$C$51,0)</f>
        <v>0</v>
      </c>
      <c r="X52" s="128">
        <f>IF(COLUMN()-3&lt;=$C$51,基本参数!$B$13/$C$51,0)</f>
        <v>0</v>
      </c>
      <c r="Y52" s="128">
        <f>IF(COLUMN()-3&lt;=$C$51,基本参数!$B$13/$C$51,0)</f>
        <v>0</v>
      </c>
      <c r="Z52" s="128">
        <f>IF(COLUMN()-3&lt;=$C$51,基本参数!$B$13/$C$51,0)</f>
        <v>0</v>
      </c>
      <c r="AA52" s="128">
        <f>IF(COLUMN()-3&lt;=$C$51,基本参数!$B$13/$C$51,0)</f>
        <v>0</v>
      </c>
      <c r="AB52" s="128">
        <f>IF(COLUMN()-3&lt;=$C$51,基本参数!$B$13/$C$51,0)</f>
        <v>0</v>
      </c>
    </row>
    <row r="53" ht="15" customHeight="1" spans="1:28">
      <c r="A53" s="158" t="s">
        <v>378</v>
      </c>
      <c r="B53" s="122" t="s">
        <v>270</v>
      </c>
      <c r="C53" s="70">
        <v>5</v>
      </c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</row>
    <row r="54" ht="15" customHeight="1" spans="1:28">
      <c r="A54" s="117"/>
      <c r="B54" s="122" t="s">
        <v>24</v>
      </c>
      <c r="C54" s="124"/>
      <c r="D54" s="128">
        <f>IF(COLUMN()-3&lt;=$C$53,基本参数!$B$14/$C$53,0)</f>
        <v>0</v>
      </c>
      <c r="E54" s="128">
        <f>IF(COLUMN()-3&lt;=$C$53,基本参数!$B$14/$C$53,0)</f>
        <v>0</v>
      </c>
      <c r="F54" s="128">
        <f>IF(COLUMN()-3&lt;=$C$53,基本参数!$B$14/$C$53,0)</f>
        <v>0</v>
      </c>
      <c r="G54" s="128">
        <f>IF(COLUMN()-3&lt;=$C$53,基本参数!$B$14/$C$53,0)</f>
        <v>0</v>
      </c>
      <c r="H54" s="128">
        <f>IF(COLUMN()-3&lt;=$C$53,基本参数!$B$14/$C$53,0)</f>
        <v>0</v>
      </c>
      <c r="I54" s="128">
        <f>IF(COLUMN()-3&lt;=$C$53,基本参数!$B$14/$C$53,0)</f>
        <v>0</v>
      </c>
      <c r="J54" s="128">
        <f>IF(COLUMN()-3&lt;=$C$53,基本参数!$B$14/$C$53,0)</f>
        <v>0</v>
      </c>
      <c r="K54" s="128">
        <f>IF(COLUMN()-3&lt;=$C$53,基本参数!$B$14/$C$53,0)</f>
        <v>0</v>
      </c>
      <c r="L54" s="128">
        <f>IF(COLUMN()-3&lt;=$C$53,基本参数!$B$14/$C$53,0)</f>
        <v>0</v>
      </c>
      <c r="M54" s="128">
        <f>IF(COLUMN()-3&lt;=$C$53,基本参数!$B$14/$C$53,0)</f>
        <v>0</v>
      </c>
      <c r="N54" s="128">
        <f>IF(COLUMN()-3&lt;=$C$53,基本参数!$B$14/$C$53,0)</f>
        <v>0</v>
      </c>
      <c r="O54" s="128">
        <f>IF(COLUMN()-3&lt;=$C$53,基本参数!$B$14/$C$53,0)</f>
        <v>0</v>
      </c>
      <c r="P54" s="128">
        <f>IF(COLUMN()-3&lt;=$C$53,基本参数!$B$14/$C$53,0)</f>
        <v>0</v>
      </c>
      <c r="Q54" s="128">
        <f>IF(COLUMN()-3&lt;=$C$53,基本参数!$B$14/$C$53,0)</f>
        <v>0</v>
      </c>
      <c r="R54" s="128">
        <f>IF(COLUMN()-3&lt;=$C$53,基本参数!$B$14/$C$53,0)</f>
        <v>0</v>
      </c>
      <c r="S54" s="128">
        <f>IF(COLUMN()-3&lt;=$C$53,基本参数!$B$14/$C$53,0)</f>
        <v>0</v>
      </c>
      <c r="T54" s="128">
        <f>IF(COLUMN()-3&lt;=$C$53,基本参数!$B$14/$C$53,0)</f>
        <v>0</v>
      </c>
      <c r="U54" s="128">
        <f>IF(COLUMN()-3&lt;=$C$53,基本参数!$B$14/$C$53,0)</f>
        <v>0</v>
      </c>
      <c r="V54" s="128">
        <f>IF(COLUMN()-3&lt;=$C$53,基本参数!$B$14/$C$53,0)</f>
        <v>0</v>
      </c>
      <c r="W54" s="128">
        <f>IF(COLUMN()-3&lt;=$C$53,基本参数!$B$14/$C$53,0)</f>
        <v>0</v>
      </c>
      <c r="X54" s="128">
        <f>IF(COLUMN()-3&lt;=$C$53,基本参数!$B$14/$C$53,0)</f>
        <v>0</v>
      </c>
      <c r="Y54" s="128">
        <f>IF(COLUMN()-3&lt;=$C$53,基本参数!$B$14/$C$53,0)</f>
        <v>0</v>
      </c>
      <c r="Z54" s="128">
        <f>IF(COLUMN()-3&lt;=$C$53,基本参数!$B$14/$C$53,0)</f>
        <v>0</v>
      </c>
      <c r="AA54" s="128">
        <f>IF(COLUMN()-3&lt;=$C$53,基本参数!$B$14/$C$53,0)</f>
        <v>0</v>
      </c>
      <c r="AB54" s="128">
        <f>IF(COLUMN()-3&lt;=$C$53,基本参数!$B$14/$C$53,0)</f>
        <v>0</v>
      </c>
    </row>
    <row r="55" ht="15" customHeight="1" spans="1:28">
      <c r="A55" s="117" t="s">
        <v>305</v>
      </c>
      <c r="B55" s="122" t="s">
        <v>24</v>
      </c>
      <c r="C55" s="14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 ht="15" customHeight="1" spans="1:28">
      <c r="A56" s="117" t="s">
        <v>379</v>
      </c>
      <c r="B56" s="122" t="s">
        <v>24</v>
      </c>
      <c r="C56" s="146"/>
      <c r="D56" s="131">
        <f t="shared" ref="D56:AB56" si="9">IF($C$49="自动计算",D52+D54,D55)</f>
        <v>0</v>
      </c>
      <c r="E56" s="131">
        <f t="shared" si="9"/>
        <v>0</v>
      </c>
      <c r="F56" s="131">
        <f t="shared" si="9"/>
        <v>0</v>
      </c>
      <c r="G56" s="131">
        <f t="shared" si="9"/>
        <v>0</v>
      </c>
      <c r="H56" s="131">
        <f t="shared" si="9"/>
        <v>0</v>
      </c>
      <c r="I56" s="131">
        <f t="shared" si="9"/>
        <v>0</v>
      </c>
      <c r="J56" s="131">
        <f t="shared" si="9"/>
        <v>0</v>
      </c>
      <c r="K56" s="131">
        <f t="shared" si="9"/>
        <v>0</v>
      </c>
      <c r="L56" s="131">
        <f t="shared" si="9"/>
        <v>0</v>
      </c>
      <c r="M56" s="131">
        <f t="shared" si="9"/>
        <v>0</v>
      </c>
      <c r="N56" s="131">
        <f t="shared" si="9"/>
        <v>0</v>
      </c>
      <c r="O56" s="131">
        <f t="shared" si="9"/>
        <v>0</v>
      </c>
      <c r="P56" s="131">
        <f t="shared" si="9"/>
        <v>0</v>
      </c>
      <c r="Q56" s="131">
        <f t="shared" si="9"/>
        <v>0</v>
      </c>
      <c r="R56" s="131">
        <f t="shared" si="9"/>
        <v>0</v>
      </c>
      <c r="S56" s="131">
        <f t="shared" si="9"/>
        <v>0</v>
      </c>
      <c r="T56" s="131">
        <f t="shared" si="9"/>
        <v>0</v>
      </c>
      <c r="U56" s="131">
        <f t="shared" si="9"/>
        <v>0</v>
      </c>
      <c r="V56" s="131">
        <f t="shared" si="9"/>
        <v>0</v>
      </c>
      <c r="W56" s="131">
        <f t="shared" si="9"/>
        <v>0</v>
      </c>
      <c r="X56" s="131">
        <f t="shared" si="9"/>
        <v>0</v>
      </c>
      <c r="Y56" s="131">
        <f t="shared" si="9"/>
        <v>0</v>
      </c>
      <c r="Z56" s="131">
        <f t="shared" si="9"/>
        <v>0</v>
      </c>
      <c r="AA56" s="131">
        <f t="shared" si="9"/>
        <v>0</v>
      </c>
      <c r="AB56" s="131">
        <f t="shared" si="9"/>
        <v>0</v>
      </c>
    </row>
    <row r="57" ht="15" customHeight="1" spans="1:28">
      <c r="A57" s="114" t="s">
        <v>189</v>
      </c>
      <c r="B57" s="114"/>
      <c r="C57" s="155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</row>
    <row r="58" ht="15" customHeight="1" spans="1:28">
      <c r="A58" s="117"/>
      <c r="B58" s="122" t="s">
        <v>277</v>
      </c>
      <c r="C58" s="157" t="s">
        <v>278</v>
      </c>
      <c r="D58" s="157" t="s">
        <v>279</v>
      </c>
      <c r="E58" s="157" t="s">
        <v>280</v>
      </c>
      <c r="F58" s="157" t="s">
        <v>281</v>
      </c>
      <c r="G58" s="157" t="s">
        <v>282</v>
      </c>
      <c r="H58" s="157" t="s">
        <v>327</v>
      </c>
      <c r="I58" s="157" t="s">
        <v>328</v>
      </c>
      <c r="J58" s="157" t="s">
        <v>329</v>
      </c>
      <c r="K58" s="157" t="s">
        <v>330</v>
      </c>
      <c r="L58" s="157" t="s">
        <v>331</v>
      </c>
      <c r="M58" s="157" t="s">
        <v>332</v>
      </c>
      <c r="N58" s="157" t="s">
        <v>333</v>
      </c>
      <c r="O58" s="157" t="s">
        <v>334</v>
      </c>
      <c r="P58" s="157" t="s">
        <v>335</v>
      </c>
      <c r="Q58" s="157" t="s">
        <v>336</v>
      </c>
      <c r="R58" s="157" t="s">
        <v>337</v>
      </c>
      <c r="S58" s="157" t="s">
        <v>338</v>
      </c>
      <c r="T58" s="157" t="s">
        <v>339</v>
      </c>
      <c r="U58" s="157" t="s">
        <v>340</v>
      </c>
      <c r="V58" s="157" t="s">
        <v>341</v>
      </c>
      <c r="W58" s="157" t="s">
        <v>342</v>
      </c>
      <c r="X58" s="157" t="s">
        <v>343</v>
      </c>
      <c r="Y58" s="157" t="s">
        <v>344</v>
      </c>
      <c r="Z58" s="157" t="s">
        <v>345</v>
      </c>
      <c r="AA58" s="157" t="s">
        <v>346</v>
      </c>
      <c r="AB58" s="157" t="s">
        <v>347</v>
      </c>
    </row>
    <row r="59" ht="15" customHeight="1" spans="1:28">
      <c r="A59" s="158" t="s">
        <v>189</v>
      </c>
      <c r="B59" s="122" t="s">
        <v>360</v>
      </c>
      <c r="C59" s="146"/>
      <c r="D59" s="51" t="e">
        <f>IF(基本信息!#REF!="自主运维",成本费用取值表!$C$37,0)</f>
        <v>#REF!</v>
      </c>
      <c r="E59" s="51" t="e">
        <f t="shared" ref="E59:AB59" si="10">D59</f>
        <v>#REF!</v>
      </c>
      <c r="F59" s="51" t="e">
        <f t="shared" si="10"/>
        <v>#REF!</v>
      </c>
      <c r="G59" s="51" t="e">
        <f t="shared" si="10"/>
        <v>#REF!</v>
      </c>
      <c r="H59" s="51" t="e">
        <f t="shared" si="10"/>
        <v>#REF!</v>
      </c>
      <c r="I59" s="51" t="e">
        <f t="shared" si="10"/>
        <v>#REF!</v>
      </c>
      <c r="J59" s="51" t="e">
        <f t="shared" si="10"/>
        <v>#REF!</v>
      </c>
      <c r="K59" s="51" t="e">
        <f t="shared" si="10"/>
        <v>#REF!</v>
      </c>
      <c r="L59" s="51" t="e">
        <f t="shared" si="10"/>
        <v>#REF!</v>
      </c>
      <c r="M59" s="51" t="e">
        <f t="shared" si="10"/>
        <v>#REF!</v>
      </c>
      <c r="N59" s="51" t="e">
        <f t="shared" si="10"/>
        <v>#REF!</v>
      </c>
      <c r="O59" s="51" t="e">
        <f t="shared" si="10"/>
        <v>#REF!</v>
      </c>
      <c r="P59" s="51" t="e">
        <f t="shared" si="10"/>
        <v>#REF!</v>
      </c>
      <c r="Q59" s="51" t="e">
        <f t="shared" si="10"/>
        <v>#REF!</v>
      </c>
      <c r="R59" s="51" t="e">
        <f t="shared" si="10"/>
        <v>#REF!</v>
      </c>
      <c r="S59" s="51" t="e">
        <f t="shared" si="10"/>
        <v>#REF!</v>
      </c>
      <c r="T59" s="51" t="e">
        <f t="shared" si="10"/>
        <v>#REF!</v>
      </c>
      <c r="U59" s="51" t="e">
        <f t="shared" si="10"/>
        <v>#REF!</v>
      </c>
      <c r="V59" s="51" t="e">
        <f t="shared" si="10"/>
        <v>#REF!</v>
      </c>
      <c r="W59" s="51" t="e">
        <f t="shared" si="10"/>
        <v>#REF!</v>
      </c>
      <c r="X59" s="51" t="e">
        <f t="shared" si="10"/>
        <v>#REF!</v>
      </c>
      <c r="Y59" s="51" t="e">
        <f t="shared" si="10"/>
        <v>#REF!</v>
      </c>
      <c r="Z59" s="51" t="e">
        <f t="shared" si="10"/>
        <v>#REF!</v>
      </c>
      <c r="AA59" s="51" t="e">
        <f t="shared" si="10"/>
        <v>#REF!</v>
      </c>
      <c r="AB59" s="51" t="e">
        <f t="shared" si="10"/>
        <v>#REF!</v>
      </c>
    </row>
    <row r="60" ht="15" customHeight="1" spans="1:28">
      <c r="A60" s="117"/>
      <c r="B60" s="122" t="s">
        <v>24</v>
      </c>
      <c r="C60" s="124"/>
      <c r="D60" s="124" t="e">
        <f>D59*基本参数!$B$7/10</f>
        <v>#REF!</v>
      </c>
      <c r="E60" s="124" t="e">
        <f>E59*基本参数!$B$7/10</f>
        <v>#REF!</v>
      </c>
      <c r="F60" s="124" t="e">
        <f>F59*基本参数!$B$7/10</f>
        <v>#REF!</v>
      </c>
      <c r="G60" s="124" t="e">
        <f>G59*基本参数!$B$7/10</f>
        <v>#REF!</v>
      </c>
      <c r="H60" s="124" t="e">
        <f>H59*基本参数!$B$7/10</f>
        <v>#REF!</v>
      </c>
      <c r="I60" s="124" t="e">
        <f>I59*基本参数!$B$7/10</f>
        <v>#REF!</v>
      </c>
      <c r="J60" s="124" t="e">
        <f>J59*基本参数!$B$7/10</f>
        <v>#REF!</v>
      </c>
      <c r="K60" s="124" t="e">
        <f>K59*基本参数!$B$7/10</f>
        <v>#REF!</v>
      </c>
      <c r="L60" s="124" t="e">
        <f>L59*基本参数!$B$7/10</f>
        <v>#REF!</v>
      </c>
      <c r="M60" s="124" t="e">
        <f>M59*基本参数!$B$7/10</f>
        <v>#REF!</v>
      </c>
      <c r="N60" s="124" t="e">
        <f>N59*基本参数!$B$7/10</f>
        <v>#REF!</v>
      </c>
      <c r="O60" s="124" t="e">
        <f>O59*基本参数!$B$7/10</f>
        <v>#REF!</v>
      </c>
      <c r="P60" s="124" t="e">
        <f>P59*基本参数!$B$7/10</f>
        <v>#REF!</v>
      </c>
      <c r="Q60" s="124" t="e">
        <f>Q59*基本参数!$B$7/10</f>
        <v>#REF!</v>
      </c>
      <c r="R60" s="124" t="e">
        <f>R59*基本参数!$B$7/10</f>
        <v>#REF!</v>
      </c>
      <c r="S60" s="124" t="e">
        <f>S59*基本参数!$B$7/10</f>
        <v>#REF!</v>
      </c>
      <c r="T60" s="124" t="e">
        <f>T59*基本参数!$B$7/10</f>
        <v>#REF!</v>
      </c>
      <c r="U60" s="124" t="e">
        <f>U59*基本参数!$B$7/10</f>
        <v>#REF!</v>
      </c>
      <c r="V60" s="124" t="e">
        <f>V59*基本参数!$B$7/10</f>
        <v>#REF!</v>
      </c>
      <c r="W60" s="124" t="e">
        <f>W59*基本参数!$B$7/10</f>
        <v>#REF!</v>
      </c>
      <c r="X60" s="124" t="e">
        <f>X59*基本参数!$B$7/10</f>
        <v>#REF!</v>
      </c>
      <c r="Y60" s="124" t="e">
        <f>Y59*基本参数!$B$7/10</f>
        <v>#REF!</v>
      </c>
      <c r="Z60" s="124" t="e">
        <f>Z59*基本参数!$B$7/10</f>
        <v>#REF!</v>
      </c>
      <c r="AA60" s="124" t="e">
        <f>AA59*基本参数!$B$7/10</f>
        <v>#REF!</v>
      </c>
      <c r="AB60" s="124" t="e">
        <f>AB59*基本参数!$B$7/10</f>
        <v>#REF!</v>
      </c>
    </row>
    <row r="61" ht="15" customHeight="1" spans="1:28">
      <c r="A61" s="129" t="s">
        <v>74</v>
      </c>
      <c r="B61" s="122" t="s">
        <v>24</v>
      </c>
      <c r="C61" s="124"/>
      <c r="D61" s="70">
        <f>基本信息!D20</f>
        <v>0</v>
      </c>
      <c r="E61" s="70">
        <f t="shared" ref="E61:AB61" si="11">D61</f>
        <v>0</v>
      </c>
      <c r="F61" s="70">
        <f t="shared" si="11"/>
        <v>0</v>
      </c>
      <c r="G61" s="70">
        <f t="shared" si="11"/>
        <v>0</v>
      </c>
      <c r="H61" s="70">
        <f t="shared" si="11"/>
        <v>0</v>
      </c>
      <c r="I61" s="70">
        <f t="shared" si="11"/>
        <v>0</v>
      </c>
      <c r="J61" s="70">
        <f t="shared" si="11"/>
        <v>0</v>
      </c>
      <c r="K61" s="70">
        <f t="shared" si="11"/>
        <v>0</v>
      </c>
      <c r="L61" s="70">
        <f t="shared" si="11"/>
        <v>0</v>
      </c>
      <c r="M61" s="70">
        <f t="shared" si="11"/>
        <v>0</v>
      </c>
      <c r="N61" s="70">
        <f t="shared" si="11"/>
        <v>0</v>
      </c>
      <c r="O61" s="70">
        <f t="shared" si="11"/>
        <v>0</v>
      </c>
      <c r="P61" s="70">
        <f t="shared" si="11"/>
        <v>0</v>
      </c>
      <c r="Q61" s="70">
        <f t="shared" si="11"/>
        <v>0</v>
      </c>
      <c r="R61" s="70">
        <f t="shared" si="11"/>
        <v>0</v>
      </c>
      <c r="S61" s="70">
        <f t="shared" si="11"/>
        <v>0</v>
      </c>
      <c r="T61" s="70">
        <f t="shared" si="11"/>
        <v>0</v>
      </c>
      <c r="U61" s="70">
        <f t="shared" si="11"/>
        <v>0</v>
      </c>
      <c r="V61" s="70">
        <f t="shared" si="11"/>
        <v>0</v>
      </c>
      <c r="W61" s="70">
        <f t="shared" si="11"/>
        <v>0</v>
      </c>
      <c r="X61" s="70">
        <f t="shared" si="11"/>
        <v>0</v>
      </c>
      <c r="Y61" s="70">
        <f t="shared" si="11"/>
        <v>0</v>
      </c>
      <c r="Z61" s="70">
        <f t="shared" si="11"/>
        <v>0</v>
      </c>
      <c r="AA61" s="70">
        <f t="shared" si="11"/>
        <v>0</v>
      </c>
      <c r="AB61" s="70">
        <f t="shared" si="11"/>
        <v>0</v>
      </c>
    </row>
    <row r="62" ht="15" customHeight="1" spans="1:28">
      <c r="A62" s="129" t="s">
        <v>77</v>
      </c>
      <c r="B62" s="122" t="s">
        <v>24</v>
      </c>
      <c r="C62" s="124"/>
      <c r="D62" s="70">
        <f>基本信息!D21</f>
        <v>0</v>
      </c>
      <c r="E62" s="70">
        <f t="shared" ref="E62:AB62" si="12">D62</f>
        <v>0</v>
      </c>
      <c r="F62" s="70">
        <f t="shared" si="12"/>
        <v>0</v>
      </c>
      <c r="G62" s="70">
        <f t="shared" si="12"/>
        <v>0</v>
      </c>
      <c r="H62" s="70">
        <f t="shared" si="12"/>
        <v>0</v>
      </c>
      <c r="I62" s="70">
        <f t="shared" si="12"/>
        <v>0</v>
      </c>
      <c r="J62" s="70">
        <f t="shared" si="12"/>
        <v>0</v>
      </c>
      <c r="K62" s="70">
        <f t="shared" si="12"/>
        <v>0</v>
      </c>
      <c r="L62" s="70">
        <f t="shared" si="12"/>
        <v>0</v>
      </c>
      <c r="M62" s="70">
        <f t="shared" si="12"/>
        <v>0</v>
      </c>
      <c r="N62" s="70">
        <f t="shared" si="12"/>
        <v>0</v>
      </c>
      <c r="O62" s="70">
        <f t="shared" si="12"/>
        <v>0</v>
      </c>
      <c r="P62" s="70">
        <f t="shared" si="12"/>
        <v>0</v>
      </c>
      <c r="Q62" s="70">
        <f t="shared" si="12"/>
        <v>0</v>
      </c>
      <c r="R62" s="70">
        <f t="shared" si="12"/>
        <v>0</v>
      </c>
      <c r="S62" s="70">
        <f t="shared" si="12"/>
        <v>0</v>
      </c>
      <c r="T62" s="70">
        <f t="shared" si="12"/>
        <v>0</v>
      </c>
      <c r="U62" s="70">
        <f t="shared" si="12"/>
        <v>0</v>
      </c>
      <c r="V62" s="70">
        <f t="shared" si="12"/>
        <v>0</v>
      </c>
      <c r="W62" s="70">
        <f t="shared" si="12"/>
        <v>0</v>
      </c>
      <c r="X62" s="70">
        <f t="shared" si="12"/>
        <v>0</v>
      </c>
      <c r="Y62" s="70">
        <f t="shared" si="12"/>
        <v>0</v>
      </c>
      <c r="Z62" s="70">
        <f t="shared" si="12"/>
        <v>0</v>
      </c>
      <c r="AA62" s="70">
        <f t="shared" si="12"/>
        <v>0</v>
      </c>
      <c r="AB62" s="70">
        <f t="shared" si="12"/>
        <v>0</v>
      </c>
    </row>
    <row r="63" ht="15" customHeight="1" spans="1:28">
      <c r="A63" s="129" t="s">
        <v>79</v>
      </c>
      <c r="B63" s="122" t="s">
        <v>24</v>
      </c>
      <c r="C63" s="124"/>
      <c r="D63" s="70">
        <f>基本信息!D22</f>
        <v>0</v>
      </c>
      <c r="E63" s="70">
        <f t="shared" ref="E63:AB63" si="13">D63</f>
        <v>0</v>
      </c>
      <c r="F63" s="70">
        <f t="shared" si="13"/>
        <v>0</v>
      </c>
      <c r="G63" s="70">
        <f t="shared" si="13"/>
        <v>0</v>
      </c>
      <c r="H63" s="70">
        <f t="shared" si="13"/>
        <v>0</v>
      </c>
      <c r="I63" s="70">
        <f t="shared" si="13"/>
        <v>0</v>
      </c>
      <c r="J63" s="70">
        <f t="shared" si="13"/>
        <v>0</v>
      </c>
      <c r="K63" s="70">
        <f t="shared" si="13"/>
        <v>0</v>
      </c>
      <c r="L63" s="70">
        <f t="shared" si="13"/>
        <v>0</v>
      </c>
      <c r="M63" s="70">
        <f t="shared" si="13"/>
        <v>0</v>
      </c>
      <c r="N63" s="70">
        <f t="shared" si="13"/>
        <v>0</v>
      </c>
      <c r="O63" s="70">
        <f t="shared" si="13"/>
        <v>0</v>
      </c>
      <c r="P63" s="70">
        <f t="shared" si="13"/>
        <v>0</v>
      </c>
      <c r="Q63" s="70">
        <f t="shared" si="13"/>
        <v>0</v>
      </c>
      <c r="R63" s="70">
        <f t="shared" si="13"/>
        <v>0</v>
      </c>
      <c r="S63" s="70">
        <f t="shared" si="13"/>
        <v>0</v>
      </c>
      <c r="T63" s="70">
        <f t="shared" si="13"/>
        <v>0</v>
      </c>
      <c r="U63" s="70">
        <f t="shared" si="13"/>
        <v>0</v>
      </c>
      <c r="V63" s="70">
        <f t="shared" si="13"/>
        <v>0</v>
      </c>
      <c r="W63" s="70">
        <f t="shared" si="13"/>
        <v>0</v>
      </c>
      <c r="X63" s="70">
        <f t="shared" si="13"/>
        <v>0</v>
      </c>
      <c r="Y63" s="70">
        <f t="shared" si="13"/>
        <v>0</v>
      </c>
      <c r="Z63" s="70">
        <f t="shared" si="13"/>
        <v>0</v>
      </c>
      <c r="AA63" s="70">
        <f t="shared" si="13"/>
        <v>0</v>
      </c>
      <c r="AB63" s="70">
        <f t="shared" si="13"/>
        <v>0</v>
      </c>
    </row>
    <row r="64" ht="15" customHeight="1" spans="1:28">
      <c r="A64" s="24" t="s">
        <v>380</v>
      </c>
      <c r="B64" s="122" t="s">
        <v>24</v>
      </c>
      <c r="C64" s="124"/>
      <c r="D64" s="70">
        <v>0</v>
      </c>
      <c r="E64" s="70">
        <f t="shared" ref="E64:AB64" si="14">D64</f>
        <v>0</v>
      </c>
      <c r="F64" s="70">
        <f t="shared" si="14"/>
        <v>0</v>
      </c>
      <c r="G64" s="70">
        <f t="shared" si="14"/>
        <v>0</v>
      </c>
      <c r="H64" s="70">
        <f t="shared" si="14"/>
        <v>0</v>
      </c>
      <c r="I64" s="70">
        <f t="shared" si="14"/>
        <v>0</v>
      </c>
      <c r="J64" s="70">
        <f t="shared" si="14"/>
        <v>0</v>
      </c>
      <c r="K64" s="70">
        <f t="shared" si="14"/>
        <v>0</v>
      </c>
      <c r="L64" s="70">
        <f t="shared" si="14"/>
        <v>0</v>
      </c>
      <c r="M64" s="70">
        <f t="shared" si="14"/>
        <v>0</v>
      </c>
      <c r="N64" s="70">
        <f t="shared" si="14"/>
        <v>0</v>
      </c>
      <c r="O64" s="70">
        <f t="shared" si="14"/>
        <v>0</v>
      </c>
      <c r="P64" s="70">
        <f t="shared" si="14"/>
        <v>0</v>
      </c>
      <c r="Q64" s="70">
        <f t="shared" si="14"/>
        <v>0</v>
      </c>
      <c r="R64" s="70">
        <f t="shared" si="14"/>
        <v>0</v>
      </c>
      <c r="S64" s="70">
        <f t="shared" si="14"/>
        <v>0</v>
      </c>
      <c r="T64" s="70">
        <f t="shared" si="14"/>
        <v>0</v>
      </c>
      <c r="U64" s="70">
        <f t="shared" si="14"/>
        <v>0</v>
      </c>
      <c r="V64" s="70">
        <f t="shared" si="14"/>
        <v>0</v>
      </c>
      <c r="W64" s="70">
        <f t="shared" si="14"/>
        <v>0</v>
      </c>
      <c r="X64" s="70">
        <f t="shared" si="14"/>
        <v>0</v>
      </c>
      <c r="Y64" s="70">
        <f t="shared" si="14"/>
        <v>0</v>
      </c>
      <c r="Z64" s="70">
        <f t="shared" si="14"/>
        <v>0</v>
      </c>
      <c r="AA64" s="70">
        <f t="shared" si="14"/>
        <v>0</v>
      </c>
      <c r="AB64" s="70">
        <f t="shared" si="14"/>
        <v>0</v>
      </c>
    </row>
    <row r="65" ht="15" customHeight="1" spans="1:28">
      <c r="A65" s="24" t="s">
        <v>381</v>
      </c>
      <c r="B65" s="122" t="s">
        <v>24</v>
      </c>
      <c r="C65" s="124"/>
      <c r="D65" s="70">
        <v>0</v>
      </c>
      <c r="E65" s="70">
        <f t="shared" ref="E65:AB65" si="15">D65</f>
        <v>0</v>
      </c>
      <c r="F65" s="70">
        <f t="shared" si="15"/>
        <v>0</v>
      </c>
      <c r="G65" s="70">
        <f t="shared" si="15"/>
        <v>0</v>
      </c>
      <c r="H65" s="70">
        <f t="shared" si="15"/>
        <v>0</v>
      </c>
      <c r="I65" s="70">
        <f t="shared" si="15"/>
        <v>0</v>
      </c>
      <c r="J65" s="70">
        <f t="shared" si="15"/>
        <v>0</v>
      </c>
      <c r="K65" s="70">
        <f t="shared" si="15"/>
        <v>0</v>
      </c>
      <c r="L65" s="70">
        <f t="shared" si="15"/>
        <v>0</v>
      </c>
      <c r="M65" s="70">
        <f t="shared" si="15"/>
        <v>0</v>
      </c>
      <c r="N65" s="70">
        <f t="shared" si="15"/>
        <v>0</v>
      </c>
      <c r="O65" s="70">
        <f t="shared" si="15"/>
        <v>0</v>
      </c>
      <c r="P65" s="70">
        <f t="shared" si="15"/>
        <v>0</v>
      </c>
      <c r="Q65" s="70">
        <f t="shared" si="15"/>
        <v>0</v>
      </c>
      <c r="R65" s="70">
        <f t="shared" si="15"/>
        <v>0</v>
      </c>
      <c r="S65" s="70">
        <f t="shared" si="15"/>
        <v>0</v>
      </c>
      <c r="T65" s="70">
        <f t="shared" si="15"/>
        <v>0</v>
      </c>
      <c r="U65" s="70">
        <f t="shared" si="15"/>
        <v>0</v>
      </c>
      <c r="V65" s="70">
        <f t="shared" si="15"/>
        <v>0</v>
      </c>
      <c r="W65" s="70">
        <f t="shared" si="15"/>
        <v>0</v>
      </c>
      <c r="X65" s="70">
        <f t="shared" si="15"/>
        <v>0</v>
      </c>
      <c r="Y65" s="70">
        <f t="shared" si="15"/>
        <v>0</v>
      </c>
      <c r="Z65" s="70">
        <f t="shared" si="15"/>
        <v>0</v>
      </c>
      <c r="AA65" s="70">
        <f t="shared" si="15"/>
        <v>0</v>
      </c>
      <c r="AB65" s="70">
        <f t="shared" si="15"/>
        <v>0</v>
      </c>
    </row>
    <row r="66" ht="15" customHeight="1" spans="1:28">
      <c r="A66" s="117" t="s">
        <v>382</v>
      </c>
      <c r="B66" s="122" t="s">
        <v>24</v>
      </c>
      <c r="C66" s="124"/>
      <c r="D66" s="124" t="e">
        <f>(D60+SUM(D61:D65))*IF(OR(基本参数!$B$2&lt;=COLUMN()-3,COLUMN()-3&lt;基本参数!$B$3),0,1)</f>
        <v>#REF!</v>
      </c>
      <c r="E66" s="124" t="e">
        <f>(E60+SUM(E61:E65))*IF(OR(基本参数!$B$2&lt;=COLUMN()-3,COLUMN()-3&lt;基本参数!$B$3),0,1)</f>
        <v>#REF!</v>
      </c>
      <c r="F66" s="124" t="e">
        <f>(F60+SUM(F61:F65))*IF(OR(基本参数!$B$2&lt;=COLUMN()-3,COLUMN()-3&lt;基本参数!$B$3),0,1)</f>
        <v>#REF!</v>
      </c>
      <c r="G66" s="124" t="e">
        <f>(G60+SUM(G61:G65))*IF(OR(基本参数!$B$2&lt;=COLUMN()-3,COLUMN()-3&lt;基本参数!$B$3),0,1)</f>
        <v>#REF!</v>
      </c>
      <c r="H66" s="124" t="e">
        <f>(H60+SUM(H61:H65))*IF(OR(基本参数!$B$2&lt;=COLUMN()-3,COLUMN()-3&lt;基本参数!$B$3),0,1)</f>
        <v>#REF!</v>
      </c>
      <c r="I66" s="124" t="e">
        <f>(I60+SUM(I61:I65))*IF(OR(基本参数!$B$2&lt;=COLUMN()-3,COLUMN()-3&lt;基本参数!$B$3),0,1)</f>
        <v>#REF!</v>
      </c>
      <c r="J66" s="124" t="e">
        <f>(J60+SUM(J61:J65))*IF(OR(基本参数!$B$2&lt;=COLUMN()-3,COLUMN()-3&lt;基本参数!$B$3),0,1)</f>
        <v>#REF!</v>
      </c>
      <c r="K66" s="124" t="e">
        <f>(K60+SUM(K61:K65))*IF(OR(基本参数!$B$2&lt;=COLUMN()-3,COLUMN()-3&lt;基本参数!$B$3),0,1)</f>
        <v>#REF!</v>
      </c>
      <c r="L66" s="124" t="e">
        <f>(L60+SUM(L61:L65))*IF(OR(基本参数!$B$2&lt;=COLUMN()-3,COLUMN()-3&lt;基本参数!$B$3),0,1)</f>
        <v>#REF!</v>
      </c>
      <c r="M66" s="124" t="e">
        <f>(M60+SUM(M61:M65))*IF(OR(基本参数!$B$2&lt;=COLUMN()-3,COLUMN()-3&lt;基本参数!$B$3),0,1)</f>
        <v>#REF!</v>
      </c>
      <c r="N66" s="124" t="e">
        <f>(N60+SUM(N61:N65))*IF(OR(基本参数!$B$2&lt;=COLUMN()-3,COLUMN()-3&lt;基本参数!$B$3),0,1)</f>
        <v>#REF!</v>
      </c>
      <c r="O66" s="124" t="e">
        <f>(O60+SUM(O61:O65))*IF(OR(基本参数!$B$2&lt;=COLUMN()-3,COLUMN()-3&lt;基本参数!$B$3),0,1)</f>
        <v>#REF!</v>
      </c>
      <c r="P66" s="124" t="e">
        <f>(P60+SUM(P61:P65))*IF(OR(基本参数!$B$2&lt;=COLUMN()-3,COLUMN()-3&lt;基本参数!$B$3),0,1)</f>
        <v>#REF!</v>
      </c>
      <c r="Q66" s="124" t="e">
        <f>(Q60+SUM(Q61:Q65))*IF(OR(基本参数!$B$2&lt;=COLUMN()-3,COLUMN()-3&lt;基本参数!$B$3),0,1)</f>
        <v>#REF!</v>
      </c>
      <c r="R66" s="124" t="e">
        <f>(R60+SUM(R61:R65))*IF(OR(基本参数!$B$2&lt;=COLUMN()-3,COLUMN()-3&lt;基本参数!$B$3),0,1)</f>
        <v>#REF!</v>
      </c>
      <c r="S66" s="124" t="e">
        <f>(S60+SUM(S61:S65))*IF(OR(基本参数!$B$2&lt;=COLUMN()-3,COLUMN()-3&lt;基本参数!$B$3),0,1)</f>
        <v>#REF!</v>
      </c>
      <c r="T66" s="124" t="e">
        <f>(T60+SUM(T61:T65))*IF(OR(基本参数!$B$2&lt;=COLUMN()-3,COLUMN()-3&lt;基本参数!$B$3),0,1)</f>
        <v>#REF!</v>
      </c>
      <c r="U66" s="124" t="e">
        <f>(U60+SUM(U61:U65))*IF(OR(基本参数!$B$2&lt;=COLUMN()-3,COLUMN()-3&lt;基本参数!$B$3),0,1)</f>
        <v>#REF!</v>
      </c>
      <c r="V66" s="124" t="e">
        <f>(V60+SUM(V61:V65))*IF(OR(基本参数!$B$2&lt;=COLUMN()-3,COLUMN()-3&lt;基本参数!$B$3),0,1)</f>
        <v>#REF!</v>
      </c>
      <c r="W66" s="124" t="e">
        <f>(W60+SUM(W61:W65))*IF(OR(基本参数!$B$2&lt;=COLUMN()-3,COLUMN()-3&lt;基本参数!$B$3),0,1)</f>
        <v>#REF!</v>
      </c>
      <c r="X66" s="124" t="e">
        <f>(X60+SUM(X61:X65))*IF(OR(基本参数!$B$2&lt;=COLUMN()-3,COLUMN()-3&lt;基本参数!$B$3),0,1)</f>
        <v>#REF!</v>
      </c>
      <c r="Y66" s="124" t="e">
        <f>(Y60+SUM(Y61:Y65))*IF(OR(基本参数!$B$2&lt;=COLUMN()-3,COLUMN()-3&lt;基本参数!$B$3),0,1)</f>
        <v>#REF!</v>
      </c>
      <c r="Z66" s="124" t="e">
        <f>(Z60+SUM(Z61:Z65))*IF(OR(基本参数!$B$2&lt;=COLUMN()-3,COLUMN()-3&lt;基本参数!$B$3),0,1)</f>
        <v>#REF!</v>
      </c>
      <c r="AA66" s="124" t="e">
        <f>(AA60+SUM(AA61:AA65))*IF(OR(基本参数!$B$2&lt;=COLUMN()-3,COLUMN()-3&lt;基本参数!$B$3),0,1)</f>
        <v>#REF!</v>
      </c>
      <c r="AB66" s="124" t="e">
        <f>(AB60+SUM(AB61:AB65))*IF(OR(基本参数!$B$2&lt;=COLUMN()-3,COLUMN()-3&lt;基本参数!$B$3),0,1)</f>
        <v>#REF!</v>
      </c>
    </row>
    <row r="67" ht="15" customHeight="1" spans="1:28">
      <c r="A67" s="114" t="s">
        <v>383</v>
      </c>
      <c r="B67" s="114"/>
      <c r="C67" s="155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</row>
    <row r="68" ht="15" customHeight="1" spans="1:28">
      <c r="A68" s="117"/>
      <c r="B68" s="122" t="s">
        <v>277</v>
      </c>
      <c r="C68" s="157" t="s">
        <v>278</v>
      </c>
      <c r="D68" s="157" t="s">
        <v>279</v>
      </c>
      <c r="E68" s="157" t="s">
        <v>280</v>
      </c>
      <c r="F68" s="157" t="s">
        <v>281</v>
      </c>
      <c r="G68" s="157" t="s">
        <v>282</v>
      </c>
      <c r="H68" s="157" t="s">
        <v>327</v>
      </c>
      <c r="I68" s="157" t="s">
        <v>328</v>
      </c>
      <c r="J68" s="157" t="s">
        <v>329</v>
      </c>
      <c r="K68" s="157" t="s">
        <v>330</v>
      </c>
      <c r="L68" s="157" t="s">
        <v>331</v>
      </c>
      <c r="M68" s="157" t="s">
        <v>332</v>
      </c>
      <c r="N68" s="157" t="s">
        <v>333</v>
      </c>
      <c r="O68" s="157" t="s">
        <v>334</v>
      </c>
      <c r="P68" s="157" t="s">
        <v>335</v>
      </c>
      <c r="Q68" s="157" t="s">
        <v>336</v>
      </c>
      <c r="R68" s="157" t="s">
        <v>337</v>
      </c>
      <c r="S68" s="157" t="s">
        <v>338</v>
      </c>
      <c r="T68" s="157" t="s">
        <v>339</v>
      </c>
      <c r="U68" s="157" t="s">
        <v>340</v>
      </c>
      <c r="V68" s="157" t="s">
        <v>341</v>
      </c>
      <c r="W68" s="157" t="s">
        <v>342</v>
      </c>
      <c r="X68" s="157" t="s">
        <v>343</v>
      </c>
      <c r="Y68" s="157" t="s">
        <v>344</v>
      </c>
      <c r="Z68" s="157" t="s">
        <v>345</v>
      </c>
      <c r="AA68" s="157" t="s">
        <v>346</v>
      </c>
      <c r="AB68" s="157" t="s">
        <v>347</v>
      </c>
    </row>
    <row r="69" ht="15" customHeight="1" spans="1:28">
      <c r="A69" s="117" t="s">
        <v>384</v>
      </c>
      <c r="B69" s="122" t="s">
        <v>24</v>
      </c>
      <c r="C69" s="162"/>
      <c r="D69" s="70">
        <v>0</v>
      </c>
      <c r="E69" s="70">
        <f t="shared" ref="E69:AB69" si="16">D69</f>
        <v>0</v>
      </c>
      <c r="F69" s="70">
        <f t="shared" si="16"/>
        <v>0</v>
      </c>
      <c r="G69" s="70">
        <f t="shared" si="16"/>
        <v>0</v>
      </c>
      <c r="H69" s="70">
        <f t="shared" si="16"/>
        <v>0</v>
      </c>
      <c r="I69" s="70">
        <f t="shared" si="16"/>
        <v>0</v>
      </c>
      <c r="J69" s="70">
        <f t="shared" si="16"/>
        <v>0</v>
      </c>
      <c r="K69" s="70">
        <f t="shared" si="16"/>
        <v>0</v>
      </c>
      <c r="L69" s="70">
        <f t="shared" si="16"/>
        <v>0</v>
      </c>
      <c r="M69" s="70">
        <f t="shared" si="16"/>
        <v>0</v>
      </c>
      <c r="N69" s="70">
        <f t="shared" si="16"/>
        <v>0</v>
      </c>
      <c r="O69" s="70">
        <f t="shared" si="16"/>
        <v>0</v>
      </c>
      <c r="P69" s="70">
        <f t="shared" si="16"/>
        <v>0</v>
      </c>
      <c r="Q69" s="70">
        <f t="shared" si="16"/>
        <v>0</v>
      </c>
      <c r="R69" s="70">
        <f t="shared" si="16"/>
        <v>0</v>
      </c>
      <c r="S69" s="70">
        <f t="shared" si="16"/>
        <v>0</v>
      </c>
      <c r="T69" s="70">
        <f t="shared" si="16"/>
        <v>0</v>
      </c>
      <c r="U69" s="70">
        <f t="shared" si="16"/>
        <v>0</v>
      </c>
      <c r="V69" s="70">
        <f t="shared" si="16"/>
        <v>0</v>
      </c>
      <c r="W69" s="70">
        <f t="shared" si="16"/>
        <v>0</v>
      </c>
      <c r="X69" s="70">
        <f t="shared" si="16"/>
        <v>0</v>
      </c>
      <c r="Y69" s="70">
        <f t="shared" si="16"/>
        <v>0</v>
      </c>
      <c r="Z69" s="70">
        <f t="shared" si="16"/>
        <v>0</v>
      </c>
      <c r="AA69" s="70">
        <f t="shared" si="16"/>
        <v>0</v>
      </c>
      <c r="AB69" s="70">
        <f t="shared" si="16"/>
        <v>0</v>
      </c>
    </row>
    <row r="70" ht="15" customHeight="1" spans="1:28">
      <c r="A70" s="117" t="s">
        <v>385</v>
      </c>
      <c r="B70" s="122" t="s">
        <v>24</v>
      </c>
      <c r="C70" s="162"/>
      <c r="D70" s="70">
        <v>0</v>
      </c>
      <c r="E70" s="70">
        <f t="shared" ref="E70:AB70" si="17">D70</f>
        <v>0</v>
      </c>
      <c r="F70" s="70">
        <f t="shared" si="17"/>
        <v>0</v>
      </c>
      <c r="G70" s="70">
        <f t="shared" si="17"/>
        <v>0</v>
      </c>
      <c r="H70" s="70">
        <f t="shared" si="17"/>
        <v>0</v>
      </c>
      <c r="I70" s="70">
        <f t="shared" si="17"/>
        <v>0</v>
      </c>
      <c r="J70" s="70">
        <f t="shared" si="17"/>
        <v>0</v>
      </c>
      <c r="K70" s="70">
        <f t="shared" si="17"/>
        <v>0</v>
      </c>
      <c r="L70" s="70">
        <f t="shared" si="17"/>
        <v>0</v>
      </c>
      <c r="M70" s="70">
        <f t="shared" si="17"/>
        <v>0</v>
      </c>
      <c r="N70" s="70">
        <f t="shared" si="17"/>
        <v>0</v>
      </c>
      <c r="O70" s="70">
        <f t="shared" si="17"/>
        <v>0</v>
      </c>
      <c r="P70" s="70">
        <f t="shared" si="17"/>
        <v>0</v>
      </c>
      <c r="Q70" s="70">
        <f t="shared" si="17"/>
        <v>0</v>
      </c>
      <c r="R70" s="70">
        <f t="shared" si="17"/>
        <v>0</v>
      </c>
      <c r="S70" s="70">
        <f t="shared" si="17"/>
        <v>0</v>
      </c>
      <c r="T70" s="70">
        <f t="shared" si="17"/>
        <v>0</v>
      </c>
      <c r="U70" s="70">
        <f t="shared" si="17"/>
        <v>0</v>
      </c>
      <c r="V70" s="70">
        <f t="shared" si="17"/>
        <v>0</v>
      </c>
      <c r="W70" s="70">
        <f t="shared" si="17"/>
        <v>0</v>
      </c>
      <c r="X70" s="70">
        <f t="shared" si="17"/>
        <v>0</v>
      </c>
      <c r="Y70" s="70">
        <f t="shared" si="17"/>
        <v>0</v>
      </c>
      <c r="Z70" s="70">
        <f t="shared" si="17"/>
        <v>0</v>
      </c>
      <c r="AA70" s="70">
        <f t="shared" si="17"/>
        <v>0</v>
      </c>
      <c r="AB70" s="70">
        <f t="shared" si="17"/>
        <v>0</v>
      </c>
    </row>
    <row r="71" ht="15" customHeight="1" spans="1:28">
      <c r="A71" s="117" t="s">
        <v>386</v>
      </c>
      <c r="B71" s="122" t="s">
        <v>24</v>
      </c>
      <c r="C71" s="162"/>
      <c r="D71" s="70">
        <v>0</v>
      </c>
      <c r="E71" s="70">
        <f t="shared" ref="E71:AB71" si="18">D71</f>
        <v>0</v>
      </c>
      <c r="F71" s="70">
        <f t="shared" si="18"/>
        <v>0</v>
      </c>
      <c r="G71" s="70">
        <f t="shared" si="18"/>
        <v>0</v>
      </c>
      <c r="H71" s="70">
        <f t="shared" si="18"/>
        <v>0</v>
      </c>
      <c r="I71" s="70">
        <f t="shared" si="18"/>
        <v>0</v>
      </c>
      <c r="J71" s="70">
        <f t="shared" si="18"/>
        <v>0</v>
      </c>
      <c r="K71" s="70">
        <f t="shared" si="18"/>
        <v>0</v>
      </c>
      <c r="L71" s="70">
        <f t="shared" si="18"/>
        <v>0</v>
      </c>
      <c r="M71" s="70">
        <f t="shared" si="18"/>
        <v>0</v>
      </c>
      <c r="N71" s="70">
        <f t="shared" si="18"/>
        <v>0</v>
      </c>
      <c r="O71" s="70">
        <f t="shared" si="18"/>
        <v>0</v>
      </c>
      <c r="P71" s="70">
        <f t="shared" si="18"/>
        <v>0</v>
      </c>
      <c r="Q71" s="70">
        <f t="shared" si="18"/>
        <v>0</v>
      </c>
      <c r="R71" s="70">
        <f t="shared" si="18"/>
        <v>0</v>
      </c>
      <c r="S71" s="70">
        <f t="shared" si="18"/>
        <v>0</v>
      </c>
      <c r="T71" s="70">
        <f t="shared" si="18"/>
        <v>0</v>
      </c>
      <c r="U71" s="70">
        <f t="shared" si="18"/>
        <v>0</v>
      </c>
      <c r="V71" s="70">
        <f t="shared" si="18"/>
        <v>0</v>
      </c>
      <c r="W71" s="70">
        <f t="shared" si="18"/>
        <v>0</v>
      </c>
      <c r="X71" s="70">
        <f t="shared" si="18"/>
        <v>0</v>
      </c>
      <c r="Y71" s="70">
        <f t="shared" si="18"/>
        <v>0</v>
      </c>
      <c r="Z71" s="70">
        <f t="shared" si="18"/>
        <v>0</v>
      </c>
      <c r="AA71" s="70">
        <f t="shared" si="18"/>
        <v>0</v>
      </c>
      <c r="AB71" s="70">
        <f t="shared" si="18"/>
        <v>0</v>
      </c>
    </row>
    <row r="72" ht="15" customHeight="1" spans="1:28">
      <c r="A72" s="117" t="s">
        <v>387</v>
      </c>
      <c r="B72" s="122" t="s">
        <v>24</v>
      </c>
      <c r="C72" s="162"/>
      <c r="D72" s="70">
        <v>0</v>
      </c>
      <c r="E72" s="70">
        <f t="shared" ref="E72:AB72" si="19">D72</f>
        <v>0</v>
      </c>
      <c r="F72" s="70">
        <f t="shared" si="19"/>
        <v>0</v>
      </c>
      <c r="G72" s="70">
        <f t="shared" si="19"/>
        <v>0</v>
      </c>
      <c r="H72" s="70">
        <f t="shared" si="19"/>
        <v>0</v>
      </c>
      <c r="I72" s="70">
        <f t="shared" si="19"/>
        <v>0</v>
      </c>
      <c r="J72" s="70">
        <f t="shared" si="19"/>
        <v>0</v>
      </c>
      <c r="K72" s="70">
        <f t="shared" si="19"/>
        <v>0</v>
      </c>
      <c r="L72" s="70">
        <f t="shared" si="19"/>
        <v>0</v>
      </c>
      <c r="M72" s="70">
        <f t="shared" si="19"/>
        <v>0</v>
      </c>
      <c r="N72" s="70">
        <f t="shared" si="19"/>
        <v>0</v>
      </c>
      <c r="O72" s="70">
        <f t="shared" si="19"/>
        <v>0</v>
      </c>
      <c r="P72" s="70">
        <f t="shared" si="19"/>
        <v>0</v>
      </c>
      <c r="Q72" s="70">
        <f t="shared" si="19"/>
        <v>0</v>
      </c>
      <c r="R72" s="70">
        <f t="shared" si="19"/>
        <v>0</v>
      </c>
      <c r="S72" s="70">
        <f t="shared" si="19"/>
        <v>0</v>
      </c>
      <c r="T72" s="70">
        <f t="shared" si="19"/>
        <v>0</v>
      </c>
      <c r="U72" s="70">
        <f t="shared" si="19"/>
        <v>0</v>
      </c>
      <c r="V72" s="70">
        <f t="shared" si="19"/>
        <v>0</v>
      </c>
      <c r="W72" s="70">
        <f t="shared" si="19"/>
        <v>0</v>
      </c>
      <c r="X72" s="70">
        <f t="shared" si="19"/>
        <v>0</v>
      </c>
      <c r="Y72" s="70">
        <f t="shared" si="19"/>
        <v>0</v>
      </c>
      <c r="Z72" s="70">
        <f t="shared" si="19"/>
        <v>0</v>
      </c>
      <c r="AA72" s="70">
        <f t="shared" si="19"/>
        <v>0</v>
      </c>
      <c r="AB72" s="70">
        <f t="shared" si="19"/>
        <v>0</v>
      </c>
    </row>
    <row r="73" ht="15" customHeight="1" spans="1:28">
      <c r="A73" s="117" t="s">
        <v>388</v>
      </c>
      <c r="B73" s="122" t="s">
        <v>24</v>
      </c>
      <c r="C73" s="162"/>
      <c r="D73" s="70">
        <v>0</v>
      </c>
      <c r="E73" s="70">
        <f t="shared" ref="E73:AB73" si="20">D73</f>
        <v>0</v>
      </c>
      <c r="F73" s="70">
        <f t="shared" si="20"/>
        <v>0</v>
      </c>
      <c r="G73" s="70">
        <f t="shared" si="20"/>
        <v>0</v>
      </c>
      <c r="H73" s="70">
        <f t="shared" si="20"/>
        <v>0</v>
      </c>
      <c r="I73" s="70">
        <f t="shared" si="20"/>
        <v>0</v>
      </c>
      <c r="J73" s="70">
        <f t="shared" si="20"/>
        <v>0</v>
      </c>
      <c r="K73" s="70">
        <f t="shared" si="20"/>
        <v>0</v>
      </c>
      <c r="L73" s="70">
        <f t="shared" si="20"/>
        <v>0</v>
      </c>
      <c r="M73" s="70">
        <f t="shared" si="20"/>
        <v>0</v>
      </c>
      <c r="N73" s="70">
        <f t="shared" si="20"/>
        <v>0</v>
      </c>
      <c r="O73" s="70">
        <f t="shared" si="20"/>
        <v>0</v>
      </c>
      <c r="P73" s="70">
        <f t="shared" si="20"/>
        <v>0</v>
      </c>
      <c r="Q73" s="70">
        <f t="shared" si="20"/>
        <v>0</v>
      </c>
      <c r="R73" s="70">
        <f t="shared" si="20"/>
        <v>0</v>
      </c>
      <c r="S73" s="70">
        <f t="shared" si="20"/>
        <v>0</v>
      </c>
      <c r="T73" s="70">
        <f t="shared" si="20"/>
        <v>0</v>
      </c>
      <c r="U73" s="70">
        <f t="shared" si="20"/>
        <v>0</v>
      </c>
      <c r="V73" s="70">
        <f t="shared" si="20"/>
        <v>0</v>
      </c>
      <c r="W73" s="70">
        <f t="shared" si="20"/>
        <v>0</v>
      </c>
      <c r="X73" s="70">
        <f t="shared" si="20"/>
        <v>0</v>
      </c>
      <c r="Y73" s="70">
        <f t="shared" si="20"/>
        <v>0</v>
      </c>
      <c r="Z73" s="70">
        <f t="shared" si="20"/>
        <v>0</v>
      </c>
      <c r="AA73" s="70">
        <f t="shared" si="20"/>
        <v>0</v>
      </c>
      <c r="AB73" s="70">
        <f t="shared" si="20"/>
        <v>0</v>
      </c>
    </row>
    <row r="74" ht="15" customHeight="1" spans="1:28">
      <c r="A74" s="117" t="s">
        <v>389</v>
      </c>
      <c r="B74" s="122" t="s">
        <v>24</v>
      </c>
      <c r="C74" s="162"/>
      <c r="D74" s="128">
        <f>SUM(D69:D73)*IF(OR(基本参数!$B$2&lt;=COLUMN()-3,COLUMN()-3&lt;基本参数!$B$3),0,1)</f>
        <v>0</v>
      </c>
      <c r="E74" s="128">
        <f>SUM(E69:E73)*IF(OR(基本参数!$B$2&lt;=COLUMN()-3,COLUMN()-3&lt;基本参数!$B$3),0,1)</f>
        <v>0</v>
      </c>
      <c r="F74" s="128">
        <f>SUM(F69:F73)*IF(OR(基本参数!$B$2&lt;=COLUMN()-3,COLUMN()-3&lt;基本参数!$B$3),0,1)</f>
        <v>0</v>
      </c>
      <c r="G74" s="128">
        <f>SUM(G69:G73)*IF(OR(基本参数!$B$2&lt;=COLUMN()-3,COLUMN()-3&lt;基本参数!$B$3),0,1)</f>
        <v>0</v>
      </c>
      <c r="H74" s="128">
        <f>SUM(H69:H73)*IF(OR(基本参数!$B$2&lt;=COLUMN()-3,COLUMN()-3&lt;基本参数!$B$3),0,1)</f>
        <v>0</v>
      </c>
      <c r="I74" s="128">
        <f>SUM(I69:I73)*IF(OR(基本参数!$B$2&lt;=COLUMN()-3,COLUMN()-3&lt;基本参数!$B$3),0,1)</f>
        <v>0</v>
      </c>
      <c r="J74" s="128">
        <f>SUM(J69:J73)*IF(OR(基本参数!$B$2&lt;=COLUMN()-3,COLUMN()-3&lt;基本参数!$B$3),0,1)</f>
        <v>0</v>
      </c>
      <c r="K74" s="128">
        <f>SUM(K69:K73)*IF(OR(基本参数!$B$2&lt;=COLUMN()-3,COLUMN()-3&lt;基本参数!$B$3),0,1)</f>
        <v>0</v>
      </c>
      <c r="L74" s="128">
        <f>SUM(L69:L73)*IF(OR(基本参数!$B$2&lt;=COLUMN()-3,COLUMN()-3&lt;基本参数!$B$3),0,1)</f>
        <v>0</v>
      </c>
      <c r="M74" s="128">
        <f>SUM(M69:M73)*IF(OR(基本参数!$B$2&lt;=COLUMN()-3,COLUMN()-3&lt;基本参数!$B$3),0,1)</f>
        <v>0</v>
      </c>
      <c r="N74" s="128">
        <f>SUM(N69:N73)*IF(OR(基本参数!$B$2&lt;=COLUMN()-3,COLUMN()-3&lt;基本参数!$B$3),0,1)</f>
        <v>0</v>
      </c>
      <c r="O74" s="128">
        <f>SUM(O69:O73)*IF(OR(基本参数!$B$2&lt;=COLUMN()-3,COLUMN()-3&lt;基本参数!$B$3),0,1)</f>
        <v>0</v>
      </c>
      <c r="P74" s="128">
        <f>SUM(P69:P73)*IF(OR(基本参数!$B$2&lt;=COLUMN()-3,COLUMN()-3&lt;基本参数!$B$3),0,1)</f>
        <v>0</v>
      </c>
      <c r="Q74" s="128">
        <f>SUM(Q69:Q73)*IF(OR(基本参数!$B$2&lt;=COLUMN()-3,COLUMN()-3&lt;基本参数!$B$3),0,1)</f>
        <v>0</v>
      </c>
      <c r="R74" s="128">
        <f>SUM(R69:R73)*IF(OR(基本参数!$B$2&lt;=COLUMN()-3,COLUMN()-3&lt;基本参数!$B$3),0,1)</f>
        <v>0</v>
      </c>
      <c r="S74" s="128">
        <f>SUM(S69:S73)*IF(OR(基本参数!$B$2&lt;=COLUMN()-3,COLUMN()-3&lt;基本参数!$B$3),0,1)</f>
        <v>0</v>
      </c>
      <c r="T74" s="128">
        <f>SUM(T69:T73)*IF(OR(基本参数!$B$2&lt;=COLUMN()-3,COLUMN()-3&lt;基本参数!$B$3),0,1)</f>
        <v>0</v>
      </c>
      <c r="U74" s="128">
        <f>SUM(U69:U73)*IF(OR(基本参数!$B$2&lt;=COLUMN()-3,COLUMN()-3&lt;基本参数!$B$3),0,1)</f>
        <v>0</v>
      </c>
      <c r="V74" s="128">
        <f>SUM(V69:V73)*IF(OR(基本参数!$B$2&lt;=COLUMN()-3,COLUMN()-3&lt;基本参数!$B$3),0,1)</f>
        <v>0</v>
      </c>
      <c r="W74" s="128">
        <f>SUM(W69:W73)*IF(OR(基本参数!$B$2&lt;=COLUMN()-3,COLUMN()-3&lt;基本参数!$B$3),0,1)</f>
        <v>0</v>
      </c>
      <c r="X74" s="128">
        <f>SUM(X69:X73)*IF(OR(基本参数!$B$2&lt;=COLUMN()-3,COLUMN()-3&lt;基本参数!$B$3),0,1)</f>
        <v>0</v>
      </c>
      <c r="Y74" s="128">
        <f>SUM(Y69:Y73)*IF(OR(基本参数!$B$2&lt;=COLUMN()-3,COLUMN()-3&lt;基本参数!$B$3),0,1)</f>
        <v>0</v>
      </c>
      <c r="Z74" s="128">
        <f>SUM(Z69:Z73)*IF(OR(基本参数!$B$2&lt;=COLUMN()-3,COLUMN()-3&lt;基本参数!$B$3),0,1)</f>
        <v>0</v>
      </c>
      <c r="AA74" s="128">
        <f>SUM(AA69:AA73)*IF(OR(基本参数!$B$2&lt;=COLUMN()-3,COLUMN()-3&lt;基本参数!$B$3),0,1)</f>
        <v>0</v>
      </c>
      <c r="AB74" s="128">
        <f>SUM(AB69:AB73)*IF(OR(基本参数!$B$2&lt;=COLUMN()-3,COLUMN()-3&lt;基本参数!$B$3),0,1)</f>
        <v>0</v>
      </c>
    </row>
    <row r="75" ht="17.25" hidden="1" customHeight="1" spans="1:28">
      <c r="A75" s="163" t="s">
        <v>390</v>
      </c>
      <c r="B75" s="164"/>
      <c r="C75" s="165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</row>
    <row r="76" ht="17.25" hidden="1" customHeight="1" spans="1:28">
      <c r="A76" s="117"/>
      <c r="B76" s="166" t="s">
        <v>277</v>
      </c>
      <c r="C76" s="157" t="s">
        <v>278</v>
      </c>
      <c r="D76" s="140" t="s">
        <v>279</v>
      </c>
      <c r="E76" s="140" t="s">
        <v>280</v>
      </c>
      <c r="F76" s="140" t="s">
        <v>281</v>
      </c>
      <c r="G76" s="140" t="s">
        <v>282</v>
      </c>
      <c r="H76" s="140" t="s">
        <v>327</v>
      </c>
      <c r="I76" s="140" t="s">
        <v>328</v>
      </c>
      <c r="J76" s="140" t="s">
        <v>329</v>
      </c>
      <c r="K76" s="140" t="s">
        <v>330</v>
      </c>
      <c r="L76" s="140" t="s">
        <v>331</v>
      </c>
      <c r="M76" s="140" t="s">
        <v>332</v>
      </c>
      <c r="N76" s="140" t="s">
        <v>333</v>
      </c>
      <c r="O76" s="140" t="s">
        <v>334</v>
      </c>
      <c r="P76" s="140" t="s">
        <v>335</v>
      </c>
      <c r="Q76" s="140" t="s">
        <v>336</v>
      </c>
      <c r="R76" s="140" t="s">
        <v>337</v>
      </c>
      <c r="S76" s="140" t="s">
        <v>338</v>
      </c>
      <c r="T76" s="140" t="s">
        <v>339</v>
      </c>
      <c r="U76" s="140" t="s">
        <v>340</v>
      </c>
      <c r="V76" s="140" t="s">
        <v>341</v>
      </c>
      <c r="W76" s="140" t="s">
        <v>342</v>
      </c>
      <c r="X76" s="140" t="s">
        <v>343</v>
      </c>
      <c r="Y76" s="140" t="s">
        <v>344</v>
      </c>
      <c r="Z76" s="140" t="s">
        <v>345</v>
      </c>
      <c r="AA76" s="140" t="s">
        <v>346</v>
      </c>
      <c r="AB76" s="140" t="s">
        <v>347</v>
      </c>
    </row>
    <row r="77" ht="17.25" hidden="1" customHeight="1" spans="1:28">
      <c r="A77" s="117" t="s">
        <v>391</v>
      </c>
      <c r="B77" s="166" t="s">
        <v>24</v>
      </c>
      <c r="C77" s="124">
        <f>SUM(投资计划与资金筹措表!D14:E14)</f>
        <v>0</v>
      </c>
      <c r="D77" s="124"/>
      <c r="E77" s="124"/>
      <c r="F77" s="124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</row>
    <row r="78" ht="17.25" hidden="1" customHeight="1" spans="1:28">
      <c r="A78" s="117" t="s">
        <v>392</v>
      </c>
      <c r="B78" s="166" t="s">
        <v>24</v>
      </c>
      <c r="C78" s="124"/>
      <c r="D78" s="124">
        <f>C77</f>
        <v>0</v>
      </c>
      <c r="E78" s="124">
        <f t="shared" ref="E78:AB78" si="21">D78-D79</f>
        <v>0</v>
      </c>
      <c r="F78" s="124">
        <f t="shared" si="21"/>
        <v>0</v>
      </c>
      <c r="G78" s="124">
        <f t="shared" si="21"/>
        <v>0</v>
      </c>
      <c r="H78" s="124">
        <f t="shared" si="21"/>
        <v>0</v>
      </c>
      <c r="I78" s="124">
        <f t="shared" si="21"/>
        <v>0</v>
      </c>
      <c r="J78" s="124">
        <f t="shared" si="21"/>
        <v>0</v>
      </c>
      <c r="K78" s="124">
        <f t="shared" si="21"/>
        <v>0</v>
      </c>
      <c r="L78" s="124">
        <f t="shared" si="21"/>
        <v>0</v>
      </c>
      <c r="M78" s="124">
        <f t="shared" si="21"/>
        <v>0</v>
      </c>
      <c r="N78" s="124">
        <f t="shared" si="21"/>
        <v>0</v>
      </c>
      <c r="O78" s="124">
        <f t="shared" si="21"/>
        <v>0</v>
      </c>
      <c r="P78" s="124">
        <f t="shared" si="21"/>
        <v>0</v>
      </c>
      <c r="Q78" s="124">
        <f t="shared" si="21"/>
        <v>0</v>
      </c>
      <c r="R78" s="124">
        <f t="shared" si="21"/>
        <v>0</v>
      </c>
      <c r="S78" s="124">
        <f t="shared" si="21"/>
        <v>0</v>
      </c>
      <c r="T78" s="124">
        <f t="shared" si="21"/>
        <v>0</v>
      </c>
      <c r="U78" s="124">
        <f t="shared" si="21"/>
        <v>0</v>
      </c>
      <c r="V78" s="124">
        <f t="shared" si="21"/>
        <v>0</v>
      </c>
      <c r="W78" s="124">
        <f t="shared" si="21"/>
        <v>0</v>
      </c>
      <c r="X78" s="124">
        <f t="shared" si="21"/>
        <v>0</v>
      </c>
      <c r="Y78" s="124">
        <f t="shared" si="21"/>
        <v>0</v>
      </c>
      <c r="Z78" s="124">
        <f t="shared" si="21"/>
        <v>0</v>
      </c>
      <c r="AA78" s="124">
        <f t="shared" si="21"/>
        <v>0</v>
      </c>
      <c r="AB78" s="124">
        <f t="shared" si="21"/>
        <v>0</v>
      </c>
    </row>
    <row r="79" ht="17.25" hidden="1" customHeight="1" spans="1:28">
      <c r="A79" s="167" t="s">
        <v>393</v>
      </c>
      <c r="B79" s="166" t="s">
        <v>24</v>
      </c>
      <c r="C79" s="124"/>
      <c r="D79" s="124">
        <f>IF(OR(COLUMN()-2&lt;=基本参数!$B$3,COLUMN()-2&gt;基本参数!$B$33+基本参数!$B$3),0,$C$77/基本参数!$B$33)</f>
        <v>0</v>
      </c>
      <c r="E79" s="124">
        <f>IF(OR(COLUMN()-2&lt;=基本参数!$B$3,COLUMN()-2&gt;基本参数!$B$33+基本参数!$B$3),0,$C$77/基本参数!$B$33)</f>
        <v>0</v>
      </c>
      <c r="F79" s="124">
        <f>IF(OR(COLUMN()-2&lt;=基本参数!$B$3,COLUMN()-2&gt;基本参数!$B$33+基本参数!$B$3),0,$C$77/基本参数!$B$33)</f>
        <v>0</v>
      </c>
      <c r="G79" s="124">
        <f>IF(OR(COLUMN()-2&lt;=基本参数!$B$3,COLUMN()-2&gt;基本参数!$B$33+基本参数!$B$3),0,$C$77/基本参数!$B$33)</f>
        <v>0</v>
      </c>
      <c r="H79" s="124">
        <f>IF(OR(COLUMN()-2&lt;=基本参数!$B$3,COLUMN()-2&gt;基本参数!$B$33+基本参数!$B$3),0,$C$77/基本参数!$B$33)</f>
        <v>0</v>
      </c>
      <c r="I79" s="124">
        <f>IF(OR(COLUMN()-2&lt;=基本参数!$B$3,COLUMN()-2&gt;基本参数!$B$33+基本参数!$B$3),0,$C$77/基本参数!$B$33)</f>
        <v>0</v>
      </c>
      <c r="J79" s="124">
        <f>IF(OR(COLUMN()-2&lt;=基本参数!$B$3,COLUMN()-2&gt;基本参数!$B$33+基本参数!$B$3),0,$C$77/基本参数!$B$33)</f>
        <v>0</v>
      </c>
      <c r="K79" s="124">
        <f>IF(OR(COLUMN()-2&lt;=基本参数!$B$3,COLUMN()-2&gt;基本参数!$B$33+基本参数!$B$3),0,$C$77/基本参数!$B$33)</f>
        <v>0</v>
      </c>
      <c r="L79" s="124">
        <f>IF(OR(COLUMN()-2&lt;=基本参数!$B$3,COLUMN()-2&gt;基本参数!$B$33+基本参数!$B$3),0,$C$77/基本参数!$B$33)</f>
        <v>0</v>
      </c>
      <c r="M79" s="124">
        <f>IF(OR(COLUMN()-2&lt;=基本参数!$B$3,COLUMN()-2&gt;基本参数!$B$33+基本参数!$B$3),0,$C$77/基本参数!$B$33)</f>
        <v>0</v>
      </c>
      <c r="N79" s="124">
        <f>IF(OR(COLUMN()-2&lt;=基本参数!$B$3,COLUMN()-2&gt;基本参数!$B$33+基本参数!$B$3),0,$C$77/基本参数!$B$33)</f>
        <v>0</v>
      </c>
      <c r="O79" s="124">
        <f>IF(OR(COLUMN()-2&lt;=基本参数!$B$3,COLUMN()-2&gt;基本参数!$B$33+基本参数!$B$3),0,$C$77/基本参数!$B$33)</f>
        <v>0</v>
      </c>
      <c r="P79" s="124">
        <f>IF(OR(COLUMN()-2&lt;=基本参数!$B$3,COLUMN()-2&gt;基本参数!$B$33+基本参数!$B$3),0,$C$77/基本参数!$B$33)</f>
        <v>0</v>
      </c>
      <c r="Q79" s="124">
        <f>IF(OR(COLUMN()-2&lt;=基本参数!$B$3,COLUMN()-2&gt;基本参数!$B$33+基本参数!$B$3),0,$C$77/基本参数!$B$33)</f>
        <v>0</v>
      </c>
      <c r="R79" s="124">
        <f>IF(OR(COLUMN()-2&lt;=基本参数!$B$3,COLUMN()-2&gt;基本参数!$B$33+基本参数!$B$3),0,$C$77/基本参数!$B$33)</f>
        <v>0</v>
      </c>
      <c r="S79" s="124">
        <f>IF(OR(COLUMN()-2&lt;=基本参数!$B$3,COLUMN()-2&gt;基本参数!$B$33+基本参数!$B$3),0,$C$77/基本参数!$B$33)</f>
        <v>0</v>
      </c>
      <c r="T79" s="124">
        <f>IF(OR(COLUMN()-2&lt;=基本参数!$B$3,COLUMN()-2&gt;基本参数!$B$33+基本参数!$B$3),0,$C$77/基本参数!$B$33)</f>
        <v>0</v>
      </c>
      <c r="U79" s="124">
        <f>IF(OR(COLUMN()-2&lt;=基本参数!$B$3,COLUMN()-2&gt;基本参数!$B$33+基本参数!$B$3),0,$C$77/基本参数!$B$33)</f>
        <v>0</v>
      </c>
      <c r="V79" s="124">
        <f>IF(OR(COLUMN()-2&lt;=基本参数!$B$3,COLUMN()-2&gt;基本参数!$B$33+基本参数!$B$3),0,$C$77/基本参数!$B$33)</f>
        <v>0</v>
      </c>
      <c r="W79" s="124">
        <f>IF(OR(COLUMN()-2&lt;=基本参数!$B$3,COLUMN()-2&gt;基本参数!$B$33+基本参数!$B$3),0,$C$77/基本参数!$B$33)</f>
        <v>0</v>
      </c>
      <c r="X79" s="124">
        <f>IF(OR(COLUMN()-2&lt;=基本参数!$B$3,COLUMN()-2&gt;基本参数!$B$33+基本参数!$B$3),0,$C$77/基本参数!$B$33)</f>
        <v>0</v>
      </c>
      <c r="Y79" s="124">
        <f>IF(OR(COLUMN()-2&lt;=基本参数!$B$3,COLUMN()-2&gt;基本参数!$B$33+基本参数!$B$3),0,$C$77/基本参数!$B$33)</f>
        <v>0</v>
      </c>
      <c r="Z79" s="124">
        <f>IF(OR(COLUMN()-2&lt;=基本参数!$B$3,COLUMN()-2&gt;基本参数!$B$33+基本参数!$B$3),0,$C$77/基本参数!$B$33)</f>
        <v>0</v>
      </c>
      <c r="AA79" s="124">
        <f>IF(OR(COLUMN()-2&lt;=基本参数!$B$3,COLUMN()-2&gt;基本参数!$B$33+基本参数!$B$3),0,$C$77/基本参数!$B$33)</f>
        <v>0</v>
      </c>
      <c r="AB79" s="124">
        <f>IF(OR(COLUMN()-2&lt;=基本参数!$B$3,COLUMN()-2&gt;基本参数!$B$33+基本参数!$B$3),0,$C$77/基本参数!$B$33)</f>
        <v>0</v>
      </c>
    </row>
    <row r="80" ht="17.25" hidden="1" customHeight="1" spans="1:28">
      <c r="A80" s="167" t="s">
        <v>394</v>
      </c>
      <c r="B80" s="166" t="s">
        <v>24</v>
      </c>
      <c r="C80" s="124"/>
      <c r="D80" s="124">
        <f>IF(COLUMN()-2&gt;基本参数!$B$3,D78*(基本参数!$B$36/100),0)</f>
        <v>0</v>
      </c>
      <c r="E80" s="124">
        <f>IF(COLUMN()-2&gt;基本参数!$B$3,E78*(基本参数!$B$36/100),0)</f>
        <v>0</v>
      </c>
      <c r="F80" s="124">
        <f>IF(COLUMN()-2&gt;基本参数!$B$3,F78*(基本参数!$B$36/100),0)</f>
        <v>0</v>
      </c>
      <c r="G80" s="124">
        <f>IF(COLUMN()-2&gt;基本参数!$B$3,G78*(基本参数!$B$36/100),0)</f>
        <v>0</v>
      </c>
      <c r="H80" s="124">
        <f>IF(COLUMN()-2&gt;基本参数!$B$3,H78*(基本参数!$B$36/100),0)</f>
        <v>0</v>
      </c>
      <c r="I80" s="124">
        <f>IF(COLUMN()-2&gt;基本参数!$B$3,I78*(基本参数!$B$36/100),0)</f>
        <v>0</v>
      </c>
      <c r="J80" s="124">
        <f>IF(COLUMN()-2&gt;基本参数!$B$3,J78*(基本参数!$B$36/100),0)</f>
        <v>0</v>
      </c>
      <c r="K80" s="124">
        <f>IF(COLUMN()-2&gt;基本参数!$B$3,K78*(基本参数!$B$36/100),0)</f>
        <v>0</v>
      </c>
      <c r="L80" s="124">
        <f>IF(COLUMN()-2&gt;基本参数!$B$3,L78*(基本参数!$B$36/100),0)</f>
        <v>0</v>
      </c>
      <c r="M80" s="124">
        <f>IF(COLUMN()-2&gt;基本参数!$B$3,M78*(基本参数!$B$36/100),0)</f>
        <v>0</v>
      </c>
      <c r="N80" s="124">
        <f>IF(COLUMN()-2&gt;基本参数!$B$3,N78*(基本参数!$B$36/100),0)</f>
        <v>0</v>
      </c>
      <c r="O80" s="124">
        <f>IF(COLUMN()-2&gt;基本参数!$B$3,O78*(基本参数!$B$36/100),0)</f>
        <v>0</v>
      </c>
      <c r="P80" s="124">
        <f>IF(COLUMN()-2&gt;基本参数!$B$3,P78*(基本参数!$B$36/100),0)</f>
        <v>0</v>
      </c>
      <c r="Q80" s="124">
        <f>IF(COLUMN()-2&gt;基本参数!$B$3,Q78*(基本参数!$B$36/100),0)</f>
        <v>0</v>
      </c>
      <c r="R80" s="124">
        <f>IF(COLUMN()-2&gt;基本参数!$B$3,R78*(基本参数!$B$36/100),0)</f>
        <v>0</v>
      </c>
      <c r="S80" s="124">
        <f>IF(COLUMN()-2&gt;基本参数!$B$3,S78*(基本参数!$B$36/100),0)</f>
        <v>0</v>
      </c>
      <c r="T80" s="124">
        <f>IF(COLUMN()-2&gt;基本参数!$B$3,T78*(基本参数!$B$36/100),0)</f>
        <v>0</v>
      </c>
      <c r="U80" s="124">
        <f>IF(COLUMN()-2&gt;基本参数!$B$3,U78*(基本参数!$B$36/100),0)</f>
        <v>0</v>
      </c>
      <c r="V80" s="124">
        <f>IF(COLUMN()-2&gt;基本参数!$B$3,V78*(基本参数!$B$36/100),0)</f>
        <v>0</v>
      </c>
      <c r="W80" s="124">
        <f>IF(COLUMN()-2&gt;基本参数!$B$3,W78*(基本参数!$B$36/100),0)</f>
        <v>0</v>
      </c>
      <c r="X80" s="124">
        <f>IF(COLUMN()-2&gt;基本参数!$B$3,X78*(基本参数!$B$36/100),0)</f>
        <v>0</v>
      </c>
      <c r="Y80" s="124">
        <f>IF(COLUMN()-2&gt;基本参数!$B$3,Y78*(基本参数!$B$36/100),0)</f>
        <v>0</v>
      </c>
      <c r="Z80" s="124">
        <f>IF(COLUMN()-2&gt;基本参数!$B$3,Z78*(基本参数!$B$36/100),0)</f>
        <v>0</v>
      </c>
      <c r="AA80" s="124">
        <f>IF(COLUMN()-2&gt;基本参数!$B$3,AA78*(基本参数!$B$36/100),0)</f>
        <v>0</v>
      </c>
      <c r="AB80" s="124">
        <f>IF(COLUMN()-2&gt;基本参数!$B$3,AB78*(基本参数!$B$36/100),0)</f>
        <v>0</v>
      </c>
    </row>
    <row r="81" ht="17.25" hidden="1" customHeight="1" spans="1:28">
      <c r="A81" s="117" t="s">
        <v>395</v>
      </c>
      <c r="B81" s="166" t="s">
        <v>24</v>
      </c>
      <c r="C81" s="124"/>
      <c r="D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E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F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G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H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I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J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K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L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M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N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O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P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Q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R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S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T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U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V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W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X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Y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Z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AA81" s="124">
        <f>IF(AND(COLUMN()-2&gt;基本参数!$B$3,COLUMN()-2&lt;=基本参数!$B$3+基本参数!$B$33),$C$77*(基本参数!$B$36%*(1+基本参数!$B$36%)^(基本参数!$B$33)/((1+基本参数!$B$36%)^(基本参数!$B$33)-1)),0)</f>
        <v>0</v>
      </c>
      <c r="AB81" s="124">
        <f>IF(AND(COLUMN()-2&gt;基本参数!$B$3,COLUMN()-2&lt;=基本参数!$B$3+基本参数!$B$33),$C$77*(基本参数!$B$36%*(1+基本参数!$B$36%)^(基本参数!$B$33)/((1+基本参数!$B$36%)^(基本参数!$B$33)-1)),0)</f>
        <v>0</v>
      </c>
    </row>
    <row r="82" ht="17.25" hidden="1" customHeight="1" spans="1:28">
      <c r="A82" s="167" t="s">
        <v>396</v>
      </c>
      <c r="B82" s="166" t="s">
        <v>24</v>
      </c>
      <c r="C82" s="124"/>
      <c r="D82" s="124">
        <f>C77</f>
        <v>0</v>
      </c>
      <c r="E82" s="124">
        <f t="shared" ref="E82:AB82" si="22">D82-D83</f>
        <v>0</v>
      </c>
      <c r="F82" s="124">
        <f t="shared" si="22"/>
        <v>0</v>
      </c>
      <c r="G82" s="124">
        <f t="shared" si="22"/>
        <v>0</v>
      </c>
      <c r="H82" s="124">
        <f t="shared" si="22"/>
        <v>0</v>
      </c>
      <c r="I82" s="124">
        <f t="shared" si="22"/>
        <v>0</v>
      </c>
      <c r="J82" s="124">
        <f t="shared" si="22"/>
        <v>0</v>
      </c>
      <c r="K82" s="124">
        <f t="shared" si="22"/>
        <v>0</v>
      </c>
      <c r="L82" s="124">
        <f t="shared" si="22"/>
        <v>0</v>
      </c>
      <c r="M82" s="124">
        <f t="shared" si="22"/>
        <v>0</v>
      </c>
      <c r="N82" s="124">
        <f t="shared" si="22"/>
        <v>0</v>
      </c>
      <c r="O82" s="124">
        <f t="shared" si="22"/>
        <v>0</v>
      </c>
      <c r="P82" s="124">
        <f t="shared" si="22"/>
        <v>0</v>
      </c>
      <c r="Q82" s="124">
        <f t="shared" si="22"/>
        <v>0</v>
      </c>
      <c r="R82" s="124">
        <f t="shared" si="22"/>
        <v>0</v>
      </c>
      <c r="S82" s="124">
        <f t="shared" si="22"/>
        <v>0</v>
      </c>
      <c r="T82" s="124">
        <f t="shared" si="22"/>
        <v>0</v>
      </c>
      <c r="U82" s="124">
        <f t="shared" si="22"/>
        <v>0</v>
      </c>
      <c r="V82" s="124">
        <f t="shared" si="22"/>
        <v>0</v>
      </c>
      <c r="W82" s="124">
        <f t="shared" si="22"/>
        <v>0</v>
      </c>
      <c r="X82" s="124">
        <f t="shared" si="22"/>
        <v>0</v>
      </c>
      <c r="Y82" s="124">
        <f t="shared" si="22"/>
        <v>0</v>
      </c>
      <c r="Z82" s="124">
        <f t="shared" si="22"/>
        <v>0</v>
      </c>
      <c r="AA82" s="124">
        <f t="shared" si="22"/>
        <v>0</v>
      </c>
      <c r="AB82" s="124">
        <f t="shared" si="22"/>
        <v>0</v>
      </c>
    </row>
    <row r="83" ht="17.25" hidden="1" customHeight="1" spans="1:28">
      <c r="A83" s="167" t="s">
        <v>393</v>
      </c>
      <c r="B83" s="166" t="s">
        <v>24</v>
      </c>
      <c r="C83" s="124"/>
      <c r="D83" s="124">
        <f t="shared" ref="D83:AB83" si="23">D81-D84</f>
        <v>0</v>
      </c>
      <c r="E83" s="124">
        <f t="shared" si="23"/>
        <v>0</v>
      </c>
      <c r="F83" s="124">
        <f t="shared" si="23"/>
        <v>0</v>
      </c>
      <c r="G83" s="124">
        <f t="shared" si="23"/>
        <v>0</v>
      </c>
      <c r="H83" s="124">
        <f t="shared" si="23"/>
        <v>0</v>
      </c>
      <c r="I83" s="124">
        <f t="shared" si="23"/>
        <v>0</v>
      </c>
      <c r="J83" s="124">
        <f t="shared" si="23"/>
        <v>0</v>
      </c>
      <c r="K83" s="124">
        <f t="shared" si="23"/>
        <v>0</v>
      </c>
      <c r="L83" s="124">
        <f t="shared" si="23"/>
        <v>0</v>
      </c>
      <c r="M83" s="124">
        <f t="shared" si="23"/>
        <v>0</v>
      </c>
      <c r="N83" s="124">
        <f t="shared" si="23"/>
        <v>0</v>
      </c>
      <c r="O83" s="124">
        <f t="shared" si="23"/>
        <v>0</v>
      </c>
      <c r="P83" s="124">
        <f t="shared" si="23"/>
        <v>0</v>
      </c>
      <c r="Q83" s="124">
        <f t="shared" si="23"/>
        <v>0</v>
      </c>
      <c r="R83" s="124">
        <f t="shared" si="23"/>
        <v>0</v>
      </c>
      <c r="S83" s="124">
        <f t="shared" si="23"/>
        <v>0</v>
      </c>
      <c r="T83" s="124">
        <f t="shared" si="23"/>
        <v>0</v>
      </c>
      <c r="U83" s="124">
        <f t="shared" si="23"/>
        <v>0</v>
      </c>
      <c r="V83" s="124">
        <f t="shared" si="23"/>
        <v>0</v>
      </c>
      <c r="W83" s="124">
        <f t="shared" si="23"/>
        <v>0</v>
      </c>
      <c r="X83" s="124">
        <f t="shared" si="23"/>
        <v>0</v>
      </c>
      <c r="Y83" s="124">
        <f t="shared" si="23"/>
        <v>0</v>
      </c>
      <c r="Z83" s="124">
        <f t="shared" si="23"/>
        <v>0</v>
      </c>
      <c r="AA83" s="124">
        <f t="shared" si="23"/>
        <v>0</v>
      </c>
      <c r="AB83" s="124">
        <f t="shared" si="23"/>
        <v>0</v>
      </c>
    </row>
    <row r="84" ht="17.25" hidden="1" customHeight="1" spans="1:28">
      <c r="A84" s="167" t="s">
        <v>394</v>
      </c>
      <c r="B84" s="166" t="s">
        <v>24</v>
      </c>
      <c r="C84" s="124"/>
      <c r="D84" s="124">
        <f>IF(COLUMN()-2&gt;基本参数!$B$3,D82*基本参数!$B$36%,0)</f>
        <v>0</v>
      </c>
      <c r="E84" s="124">
        <f>IF(COLUMN()-2&gt;基本参数!$B$3,E82*基本参数!$B$36%,0)</f>
        <v>0</v>
      </c>
      <c r="F84" s="124">
        <f>IF(COLUMN()-2&gt;基本参数!$B$3,F82*基本参数!$B$36%,0)</f>
        <v>0</v>
      </c>
      <c r="G84" s="124">
        <f>IF(COLUMN()-2&gt;基本参数!$B$3,G82*基本参数!$B$36%,0)</f>
        <v>0</v>
      </c>
      <c r="H84" s="124">
        <f>IF(COLUMN()-2&gt;基本参数!$B$3,H82*基本参数!$B$36%,0)</f>
        <v>0</v>
      </c>
      <c r="I84" s="124">
        <f>IF(COLUMN()-2&gt;基本参数!$B$3,I82*基本参数!$B$36%,0)</f>
        <v>0</v>
      </c>
      <c r="J84" s="124">
        <f>IF(COLUMN()-2&gt;基本参数!$B$3,J82*基本参数!$B$36%,0)</f>
        <v>0</v>
      </c>
      <c r="K84" s="124">
        <f>IF(COLUMN()-2&gt;基本参数!$B$3,K82*基本参数!$B$36%,0)</f>
        <v>0</v>
      </c>
      <c r="L84" s="124">
        <f>IF(COLUMN()-2&gt;基本参数!$B$3,L82*基本参数!$B$36%,0)</f>
        <v>0</v>
      </c>
      <c r="M84" s="124">
        <f>IF(COLUMN()-2&gt;基本参数!$B$3,M82*基本参数!$B$36%,0)</f>
        <v>0</v>
      </c>
      <c r="N84" s="124">
        <f>IF(COLUMN()-2&gt;基本参数!$B$3,N82*基本参数!$B$36%,0)</f>
        <v>0</v>
      </c>
      <c r="O84" s="124">
        <f>IF(COLUMN()-2&gt;基本参数!$B$3,O82*基本参数!$B$36%,0)</f>
        <v>0</v>
      </c>
      <c r="P84" s="124">
        <f>IF(COLUMN()-2&gt;基本参数!$B$3,P82*基本参数!$B$36%,0)</f>
        <v>0</v>
      </c>
      <c r="Q84" s="124">
        <f>IF(COLUMN()-2&gt;基本参数!$B$3,Q82*基本参数!$B$36%,0)</f>
        <v>0</v>
      </c>
      <c r="R84" s="124">
        <f>IF(COLUMN()-2&gt;基本参数!$B$3,R82*基本参数!$B$36%,0)</f>
        <v>0</v>
      </c>
      <c r="S84" s="124">
        <f>IF(COLUMN()-2&gt;基本参数!$B$3,S82*基本参数!$B$36%,0)</f>
        <v>0</v>
      </c>
      <c r="T84" s="124">
        <f>IF(COLUMN()-2&gt;基本参数!$B$3,T82*基本参数!$B$36%,0)</f>
        <v>0</v>
      </c>
      <c r="U84" s="124">
        <f>IF(COLUMN()-2&gt;基本参数!$B$3,U82*基本参数!$B$36%,0)</f>
        <v>0</v>
      </c>
      <c r="V84" s="124">
        <f>IF(COLUMN()-2&gt;基本参数!$B$3,V82*基本参数!$B$36%,0)</f>
        <v>0</v>
      </c>
      <c r="W84" s="124">
        <f>IF(COLUMN()-2&gt;基本参数!$B$3,W82*基本参数!$B$36%,0)</f>
        <v>0</v>
      </c>
      <c r="X84" s="124">
        <f>IF(COLUMN()-2&gt;基本参数!$B$3,X82*基本参数!$B$36%,0)</f>
        <v>0</v>
      </c>
      <c r="Y84" s="124">
        <f>IF(COLUMN()-2&gt;基本参数!$B$3,Y82*基本参数!$B$36%,0)</f>
        <v>0</v>
      </c>
      <c r="Z84" s="124">
        <f>IF(COLUMN()-2&gt;基本参数!$B$3,Z82*基本参数!$B$36%,0)</f>
        <v>0</v>
      </c>
      <c r="AA84" s="124">
        <f>IF(COLUMN()-2&gt;基本参数!$B$3,AA82*基本参数!$B$36%,0)</f>
        <v>0</v>
      </c>
      <c r="AB84" s="124">
        <f>IF(COLUMN()-2&gt;基本参数!$B$3,AB82*基本参数!$B$36%,0)</f>
        <v>0</v>
      </c>
    </row>
    <row r="85" ht="17.25" hidden="1" customHeight="1" spans="1:28">
      <c r="A85" s="117" t="s">
        <v>397</v>
      </c>
      <c r="B85" s="166" t="s">
        <v>24</v>
      </c>
      <c r="C85" s="124"/>
      <c r="D85" s="124">
        <f>C77</f>
        <v>0</v>
      </c>
      <c r="E85" s="124">
        <f t="shared" ref="E85:AB85" si="24">D85-D86</f>
        <v>0</v>
      </c>
      <c r="F85" s="124">
        <f t="shared" si="24"/>
        <v>0</v>
      </c>
      <c r="G85" s="124">
        <f t="shared" si="24"/>
        <v>0</v>
      </c>
      <c r="H85" s="124">
        <f t="shared" si="24"/>
        <v>0</v>
      </c>
      <c r="I85" s="124">
        <f t="shared" si="24"/>
        <v>0</v>
      </c>
      <c r="J85" s="124">
        <f t="shared" si="24"/>
        <v>0</v>
      </c>
      <c r="K85" s="124">
        <f t="shared" si="24"/>
        <v>0</v>
      </c>
      <c r="L85" s="124">
        <f t="shared" si="24"/>
        <v>0</v>
      </c>
      <c r="M85" s="124">
        <f t="shared" si="24"/>
        <v>0</v>
      </c>
      <c r="N85" s="124">
        <f t="shared" si="24"/>
        <v>0</v>
      </c>
      <c r="O85" s="124">
        <f t="shared" si="24"/>
        <v>0</v>
      </c>
      <c r="P85" s="124">
        <f t="shared" si="24"/>
        <v>0</v>
      </c>
      <c r="Q85" s="124">
        <f t="shared" si="24"/>
        <v>0</v>
      </c>
      <c r="R85" s="124">
        <f t="shared" si="24"/>
        <v>0</v>
      </c>
      <c r="S85" s="124">
        <f t="shared" si="24"/>
        <v>0</v>
      </c>
      <c r="T85" s="124">
        <f t="shared" si="24"/>
        <v>0</v>
      </c>
      <c r="U85" s="124">
        <f t="shared" si="24"/>
        <v>0</v>
      </c>
      <c r="V85" s="124">
        <f t="shared" si="24"/>
        <v>0</v>
      </c>
      <c r="W85" s="124">
        <f t="shared" si="24"/>
        <v>0</v>
      </c>
      <c r="X85" s="124">
        <f t="shared" si="24"/>
        <v>0</v>
      </c>
      <c r="Y85" s="124">
        <f t="shared" si="24"/>
        <v>0</v>
      </c>
      <c r="Z85" s="124">
        <f t="shared" si="24"/>
        <v>0</v>
      </c>
      <c r="AA85" s="124">
        <f t="shared" si="24"/>
        <v>0</v>
      </c>
      <c r="AB85" s="124">
        <f t="shared" si="24"/>
        <v>0</v>
      </c>
    </row>
    <row r="86" ht="17.25" hidden="1" customHeight="1" spans="1:28">
      <c r="A86" s="167" t="s">
        <v>393</v>
      </c>
      <c r="B86" s="166" t="s">
        <v>24</v>
      </c>
      <c r="C86" s="124"/>
      <c r="D86" s="124">
        <f>基本参数!C38</f>
        <v>0</v>
      </c>
      <c r="E86" s="124">
        <f>基本参数!D38</f>
        <v>0</v>
      </c>
      <c r="F86" s="124">
        <f>基本参数!E38</f>
        <v>0</v>
      </c>
      <c r="G86" s="124">
        <f>基本参数!F38</f>
        <v>0</v>
      </c>
      <c r="H86" s="124">
        <f>基本参数!G38</f>
        <v>0</v>
      </c>
      <c r="I86" s="124">
        <f>基本参数!H38</f>
        <v>0</v>
      </c>
      <c r="J86" s="124">
        <f>基本参数!I38</f>
        <v>0</v>
      </c>
      <c r="K86" s="124">
        <f>基本参数!J38</f>
        <v>0</v>
      </c>
      <c r="L86" s="124">
        <f>基本参数!K38</f>
        <v>0</v>
      </c>
      <c r="M86" s="124">
        <f>基本参数!L38</f>
        <v>0</v>
      </c>
      <c r="N86" s="124">
        <f>基本参数!M38</f>
        <v>0</v>
      </c>
      <c r="O86" s="124">
        <f>基本参数!N38</f>
        <v>0</v>
      </c>
      <c r="P86" s="124">
        <f>基本参数!O38</f>
        <v>0</v>
      </c>
      <c r="Q86" s="124">
        <f>基本参数!P38</f>
        <v>0</v>
      </c>
      <c r="R86" s="124">
        <f>基本参数!Q38</f>
        <v>0</v>
      </c>
      <c r="S86" s="124">
        <f>基本参数!R38</f>
        <v>0</v>
      </c>
      <c r="T86" s="124">
        <f>基本参数!S38</f>
        <v>0</v>
      </c>
      <c r="U86" s="124">
        <f>基本参数!T38</f>
        <v>0</v>
      </c>
      <c r="V86" s="124">
        <f>基本参数!U38</f>
        <v>0</v>
      </c>
      <c r="W86" s="124">
        <f>基本参数!V38</f>
        <v>0</v>
      </c>
      <c r="X86" s="124">
        <f>基本参数!W38</f>
        <v>0</v>
      </c>
      <c r="Y86" s="124">
        <f>基本参数!X38</f>
        <v>0</v>
      </c>
      <c r="Z86" s="124">
        <f>基本参数!Y38</f>
        <v>0</v>
      </c>
      <c r="AA86" s="124">
        <f>基本参数!Z38</f>
        <v>0</v>
      </c>
      <c r="AB86" s="124">
        <f>基本参数!AA38</f>
        <v>0</v>
      </c>
    </row>
    <row r="87" ht="17.25" hidden="1" customHeight="1" spans="1:28">
      <c r="A87" s="167" t="s">
        <v>394</v>
      </c>
      <c r="B87" s="166" t="s">
        <v>24</v>
      </c>
      <c r="C87" s="124"/>
      <c r="D87" s="168">
        <f>IF(COLUMN()-2&gt;基本参数!$B$3,D85*基本参数!$B$36%,0)</f>
        <v>0</v>
      </c>
      <c r="E87" s="168">
        <f>IF(COLUMN()-2&gt;基本参数!$B$3,E85*基本参数!$B$36%,0)</f>
        <v>0</v>
      </c>
      <c r="F87" s="168">
        <f>IF(COLUMN()-2&gt;基本参数!$B$3,F85*基本参数!$B$36%,0)</f>
        <v>0</v>
      </c>
      <c r="G87" s="168">
        <f>IF(COLUMN()-2&gt;基本参数!$B$3,G85*基本参数!$B$36%,0)</f>
        <v>0</v>
      </c>
      <c r="H87" s="168">
        <f>IF(COLUMN()-2&gt;基本参数!$B$3,H85*基本参数!$B$36%,0)</f>
        <v>0</v>
      </c>
      <c r="I87" s="168">
        <f>IF(COLUMN()-2&gt;基本参数!$B$3,I85*基本参数!$B$36%,0)</f>
        <v>0</v>
      </c>
      <c r="J87" s="168">
        <f>IF(COLUMN()-2&gt;基本参数!$B$3,J85*基本参数!$B$36%,0)</f>
        <v>0</v>
      </c>
      <c r="K87" s="168">
        <f>IF(COLUMN()-2&gt;基本参数!$B$3,K85*基本参数!$B$36%,0)</f>
        <v>0</v>
      </c>
      <c r="L87" s="168">
        <f>IF(COLUMN()-2&gt;基本参数!$B$3,L85*基本参数!$B$36%,0)</f>
        <v>0</v>
      </c>
      <c r="M87" s="168">
        <f>IF(COLUMN()-2&gt;基本参数!$B$3,M85*基本参数!$B$36%,0)</f>
        <v>0</v>
      </c>
      <c r="N87" s="168">
        <f>IF(COLUMN()-2&gt;基本参数!$B$3,N85*基本参数!$B$36%,0)</f>
        <v>0</v>
      </c>
      <c r="O87" s="168">
        <f>IF(COLUMN()-2&gt;基本参数!$B$3,O85*基本参数!$B$36%,0)</f>
        <v>0</v>
      </c>
      <c r="P87" s="168">
        <f>IF(COLUMN()-2&gt;基本参数!$B$3,P85*基本参数!$B$36%,0)</f>
        <v>0</v>
      </c>
      <c r="Q87" s="168">
        <f>IF(COLUMN()-2&gt;基本参数!$B$3,Q85*基本参数!$B$36%,0)</f>
        <v>0</v>
      </c>
      <c r="R87" s="168">
        <f>IF(COLUMN()-2&gt;基本参数!$B$3,R85*基本参数!$B$36%,0)</f>
        <v>0</v>
      </c>
      <c r="S87" s="168">
        <f>IF(COLUMN()-2&gt;基本参数!$B$3,S85*基本参数!$B$36%,0)</f>
        <v>0</v>
      </c>
      <c r="T87" s="168">
        <f>IF(COLUMN()-2&gt;基本参数!$B$3,T85*基本参数!$B$36%,0)</f>
        <v>0</v>
      </c>
      <c r="U87" s="168">
        <f>IF(COLUMN()-2&gt;基本参数!$B$3,U85*基本参数!$B$36%,0)</f>
        <v>0</v>
      </c>
      <c r="V87" s="168">
        <f>IF(COLUMN()-2&gt;基本参数!$B$3,V85*基本参数!$B$36%,0)</f>
        <v>0</v>
      </c>
      <c r="W87" s="168">
        <f>IF(COLUMN()-2&gt;基本参数!$B$3,W85*基本参数!$B$36%,0)</f>
        <v>0</v>
      </c>
      <c r="X87" s="168">
        <f>IF(COLUMN()-2&gt;基本参数!$B$3,X85*基本参数!$B$36%,0)</f>
        <v>0</v>
      </c>
      <c r="Y87" s="168">
        <f>IF(COLUMN()-2&gt;基本参数!$B$3,Y85*基本参数!$B$36%,0)</f>
        <v>0</v>
      </c>
      <c r="Z87" s="168">
        <f>IF(COLUMN()-2&gt;基本参数!$B$3,Z85*基本参数!$B$36%,0)</f>
        <v>0</v>
      </c>
      <c r="AA87" s="168">
        <f>IF(COLUMN()-2&gt;基本参数!$B$3,AA85*基本参数!$B$36%,0)</f>
        <v>0</v>
      </c>
      <c r="AB87" s="168">
        <f>IF(COLUMN()-2&gt;基本参数!$B$3,AB85*基本参数!$B$36%,0)</f>
        <v>0</v>
      </c>
    </row>
    <row r="88" ht="17.25" hidden="1" customHeight="1" spans="1:28">
      <c r="A88" s="129" t="s">
        <v>398</v>
      </c>
      <c r="B88" s="130"/>
      <c r="C88" s="146">
        <f>投资计划与资金筹措表!D6+投资计划与资金筹措表!D7</f>
        <v>0</v>
      </c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</row>
    <row r="89" ht="17.25" hidden="1" customHeight="1" spans="1:28">
      <c r="A89" s="129" t="s">
        <v>399</v>
      </c>
      <c r="B89" s="130"/>
      <c r="C89" s="146">
        <f>C88-基本参数!B13-基本参数!B14-基本参数!B15</f>
        <v>0</v>
      </c>
      <c r="D89" s="169">
        <f>IF(COLUMN()-2&lt;=基本参数!$B$2,C89,0)</f>
        <v>0</v>
      </c>
      <c r="E89" s="169">
        <f>IF(COLUMN()-2&lt;=基本参数!$B$2,D89,0)</f>
        <v>0</v>
      </c>
      <c r="F89" s="169">
        <f>IF(COLUMN()-2&lt;=基本参数!$B$2,E89,0)</f>
        <v>0</v>
      </c>
      <c r="G89" s="169">
        <f>IF(COLUMN()-2&lt;=基本参数!$B$2,F89,0)</f>
        <v>0</v>
      </c>
      <c r="H89" s="169">
        <f>IF(COLUMN()-2&lt;=基本参数!$B$2,G89,0)</f>
        <v>0</v>
      </c>
      <c r="I89" s="169">
        <f>IF(COLUMN()-2&lt;=基本参数!$B$2,H89,0)</f>
        <v>0</v>
      </c>
      <c r="J89" s="169">
        <f>IF(COLUMN()-2&lt;=基本参数!$B$2,I89,0)</f>
        <v>0</v>
      </c>
      <c r="K89" s="169">
        <f>IF(COLUMN()-2&lt;=基本参数!$B$2,J89,0)</f>
        <v>0</v>
      </c>
      <c r="L89" s="169">
        <f>IF(COLUMN()-2&lt;=基本参数!$B$2,K89,0)</f>
        <v>0</v>
      </c>
      <c r="M89" s="169">
        <f>IF(COLUMN()-2&lt;=基本参数!$B$2,L89,0)</f>
        <v>0</v>
      </c>
      <c r="N89" s="169">
        <f>IF(COLUMN()-2&lt;=基本参数!$B$2,M89,0)</f>
        <v>0</v>
      </c>
      <c r="O89" s="169">
        <f>IF(COLUMN()-2&lt;=基本参数!$B$2,N89,0)</f>
        <v>0</v>
      </c>
      <c r="P89" s="169">
        <f>IF(COLUMN()-2&lt;=基本参数!$B$2,O89,0)</f>
        <v>0</v>
      </c>
      <c r="Q89" s="169">
        <f>IF(COLUMN()-2&lt;=基本参数!$B$2,P89,0)</f>
        <v>0</v>
      </c>
      <c r="R89" s="169">
        <f>IF(COLUMN()-2&lt;=基本参数!$B$2,Q89,0)</f>
        <v>0</v>
      </c>
      <c r="S89" s="169">
        <f>IF(COLUMN()-2&lt;=基本参数!$B$2,R89,0)</f>
        <v>0</v>
      </c>
      <c r="T89" s="169">
        <f>IF(COLUMN()-2&lt;=基本参数!$B$2,S89,0)</f>
        <v>0</v>
      </c>
      <c r="U89" s="169">
        <f>IF(COLUMN()-2&lt;=基本参数!$B$2,T89,0)</f>
        <v>0</v>
      </c>
      <c r="V89" s="169">
        <f>IF(COLUMN()-2&lt;=基本参数!$B$2,U89,0)</f>
        <v>0</v>
      </c>
      <c r="W89" s="169">
        <f>IF(COLUMN()-2&lt;=基本参数!$B$2,V89,0)</f>
        <v>0</v>
      </c>
      <c r="X89" s="169">
        <f>IF(COLUMN()-2&lt;=基本参数!$B$2,W89,0)</f>
        <v>0</v>
      </c>
      <c r="Y89" s="169">
        <f>IF(COLUMN()-2&lt;=基本参数!$B$2,X89,0)</f>
        <v>0</v>
      </c>
      <c r="Z89" s="169">
        <f>IF(COLUMN()-2&lt;=基本参数!$B$2,Y89,0)</f>
        <v>0</v>
      </c>
      <c r="AA89" s="169">
        <f>IF(COLUMN()-2&lt;=基本参数!$B$2,Z89,0)</f>
        <v>0</v>
      </c>
      <c r="AB89" s="169">
        <f>IF(COLUMN()-2&lt;=基本参数!$B$2,AA89,0)</f>
        <v>0</v>
      </c>
    </row>
    <row r="90" ht="17.25" hidden="1" customHeight="1" spans="1:28">
      <c r="A90" s="129" t="s">
        <v>400</v>
      </c>
      <c r="B90" s="130" t="s">
        <v>24</v>
      </c>
      <c r="C90" s="146"/>
      <c r="D90" s="146">
        <f>IF(COLUMN()-2&lt;=基本参数!$B$2,C89-SUM($C$8:D8),0)</f>
        <v>0</v>
      </c>
      <c r="E90" s="146">
        <f>IF(COLUMN()-2&lt;=基本参数!$B$2,D89-SUM($C$8:E8),0)</f>
        <v>0</v>
      </c>
      <c r="F90" s="146">
        <f>IF(COLUMN()-2&lt;=基本参数!$B$2,E89-SUM($C$8:F8),0)</f>
        <v>0</v>
      </c>
      <c r="G90" s="146">
        <f>IF(COLUMN()-2&lt;=基本参数!$B$2,F89-SUM($C$8:G8),0)</f>
        <v>0</v>
      </c>
      <c r="H90" s="146">
        <f>IF(COLUMN()-2&lt;=基本参数!$B$2,G89-SUM($C$8:H8),0)</f>
        <v>0</v>
      </c>
      <c r="I90" s="146">
        <f>IF(COLUMN()-2&lt;=基本参数!$B$2,H89-SUM($C$8:I8),0)</f>
        <v>0</v>
      </c>
      <c r="J90" s="146">
        <f>IF(COLUMN()-2&lt;=基本参数!$B$2,I89-SUM($C$8:J8),0)</f>
        <v>0</v>
      </c>
      <c r="K90" s="146">
        <f>IF(COLUMN()-2&lt;=基本参数!$B$2,J89-SUM($C$8:K8),0)</f>
        <v>0</v>
      </c>
      <c r="L90" s="146">
        <f>IF(COLUMN()-2&lt;=基本参数!$B$2,K89-SUM($C$8:L8),0)</f>
        <v>0</v>
      </c>
      <c r="M90" s="146">
        <f>IF(COLUMN()-2&lt;=基本参数!$B$2,L89-SUM($C$8:M8),0)</f>
        <v>0</v>
      </c>
      <c r="N90" s="146">
        <f>IF(COLUMN()-2&lt;=基本参数!$B$2,M89-SUM($C$8:N8),0)</f>
        <v>0</v>
      </c>
      <c r="O90" s="146">
        <f>IF(COLUMN()-2&lt;=基本参数!$B$2,N89-SUM($C$8:O8),0)</f>
        <v>0</v>
      </c>
      <c r="P90" s="146">
        <f>IF(COLUMN()-2&lt;=基本参数!$B$2,O89-SUM($C$8:P8),0)</f>
        <v>0</v>
      </c>
      <c r="Q90" s="146">
        <f>IF(COLUMN()-2&lt;=基本参数!$B$2,P89-SUM($C$8:Q8),0)</f>
        <v>0</v>
      </c>
      <c r="R90" s="146">
        <f>IF(COLUMN()-2&lt;=基本参数!$B$2,Q89-SUM($C$8:R8),0)</f>
        <v>0</v>
      </c>
      <c r="S90" s="146">
        <f>IF(COLUMN()-2&lt;=基本参数!$B$2,R89-SUM($C$8:S8),0)</f>
        <v>0</v>
      </c>
      <c r="T90" s="146">
        <f>IF(COLUMN()-2&lt;=基本参数!$B$2,S89-SUM($C$8:T8),0)</f>
        <v>0</v>
      </c>
      <c r="U90" s="146">
        <f>IF(COLUMN()-2&lt;=基本参数!$B$2,T89-SUM($C$8:U8),0)</f>
        <v>0</v>
      </c>
      <c r="V90" s="146">
        <f>IF(COLUMN()-2&lt;=基本参数!$B$2,U89-SUM($C$8:V8),0)</f>
        <v>0</v>
      </c>
      <c r="W90" s="146">
        <f>IF(COLUMN()-2&lt;=基本参数!$B$2,V89-SUM($C$8:W8),0)</f>
        <v>0</v>
      </c>
      <c r="X90" s="146">
        <f>IF(COLUMN()-2&lt;=基本参数!$B$2,W89-SUM($C$8:X8),0)</f>
        <v>0</v>
      </c>
      <c r="Y90" s="146">
        <f>IF(COLUMN()-2&lt;=基本参数!$B$2,X89-SUM($C$8:Y8),0)</f>
        <v>0</v>
      </c>
      <c r="Z90" s="146">
        <f>IF(COLUMN()-2&lt;=基本参数!$B$2,Y89-SUM($C$8:Z8),0)</f>
        <v>0</v>
      </c>
      <c r="AA90" s="146">
        <f>IF(COLUMN()-2&lt;=基本参数!$B$2,Z89-SUM($C$8:AA8),0)</f>
        <v>0</v>
      </c>
      <c r="AB90" s="146">
        <f>IF(COLUMN()-2&lt;=基本参数!$B$2,AA89-SUM($C$8:AB8),0)</f>
        <v>0</v>
      </c>
    </row>
  </sheetData>
  <mergeCells count="37">
    <mergeCell ref="A1:C1"/>
    <mergeCell ref="A2:B2"/>
    <mergeCell ref="A9:C9"/>
    <mergeCell ref="A10:B10"/>
    <mergeCell ref="A18:C18"/>
    <mergeCell ref="A19:B19"/>
    <mergeCell ref="A26:C26"/>
    <mergeCell ref="A27:B27"/>
    <mergeCell ref="A34:C34"/>
    <mergeCell ref="A35:B35"/>
    <mergeCell ref="A41:C41"/>
    <mergeCell ref="A42:B42"/>
    <mergeCell ref="A48:C48"/>
    <mergeCell ref="A49:B49"/>
    <mergeCell ref="D51:AB51"/>
    <mergeCell ref="D53:AB53"/>
    <mergeCell ref="A57:C57"/>
    <mergeCell ref="D57:AB57"/>
    <mergeCell ref="A67:C67"/>
    <mergeCell ref="D67:AB67"/>
    <mergeCell ref="A75:C75"/>
    <mergeCell ref="D75:AB75"/>
    <mergeCell ref="D88:AB88"/>
    <mergeCell ref="A12:A13"/>
    <mergeCell ref="A14:A15"/>
    <mergeCell ref="A37:A38"/>
    <mergeCell ref="A44:A45"/>
    <mergeCell ref="A51:A52"/>
    <mergeCell ref="A53:A54"/>
    <mergeCell ref="A59:A60"/>
    <mergeCell ref="D1:AB4"/>
    <mergeCell ref="D9:AB10"/>
    <mergeCell ref="D18:AB19"/>
    <mergeCell ref="D26:AB28"/>
    <mergeCell ref="D34:AB35"/>
    <mergeCell ref="D41:AB42"/>
    <mergeCell ref="D48:AB49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B69"/>
  <sheetViews>
    <sheetView workbookViewId="0">
      <pane xSplit="3" topLeftCell="D1" activePane="topRight" state="frozen"/>
      <selection/>
      <selection pane="topRight" activeCell="A1" sqref="A1:C1"/>
    </sheetView>
  </sheetViews>
  <sheetFormatPr defaultColWidth="8.83333333333333" defaultRowHeight="13.5"/>
  <cols>
    <col min="1" max="1" width="32.8333333333333" customWidth="1"/>
    <col min="2" max="2" width="12.8333333333333" customWidth="1"/>
    <col min="3" max="4" width="12.8333333333333" style="113" customWidth="1"/>
    <col min="5" max="5" width="12.8333333333333" style="34" customWidth="1"/>
    <col min="6" max="6" width="12.8333333333333" style="113" customWidth="1"/>
    <col min="7" max="7" width="12.8333333333333" style="34" customWidth="1"/>
    <col min="8" max="8" width="12.8333333333333" style="113" customWidth="1"/>
    <col min="9" max="9" width="12.8333333333333" style="34" customWidth="1"/>
    <col min="10" max="10" width="12.8333333333333" style="113" customWidth="1"/>
    <col min="11" max="11" width="12.8333333333333" style="34" customWidth="1"/>
    <col min="12" max="12" width="12.8333333333333" style="113" customWidth="1"/>
    <col min="13" max="13" width="12.8333333333333" style="34" customWidth="1"/>
    <col min="14" max="14" width="12.8333333333333" style="113" customWidth="1"/>
    <col min="15" max="15" width="12.8333333333333" style="34" customWidth="1"/>
    <col min="16" max="16" width="12.8333333333333" style="113" customWidth="1"/>
    <col min="17" max="17" width="12.8333333333333" style="34" customWidth="1"/>
    <col min="18" max="18" width="12.8333333333333" style="113" customWidth="1"/>
    <col min="19" max="19" width="12.8333333333333" style="34" customWidth="1"/>
    <col min="20" max="20" width="12.8333333333333" style="113" customWidth="1"/>
    <col min="21" max="21" width="12.8333333333333" style="34" customWidth="1"/>
    <col min="22" max="22" width="12.8333333333333" style="113" customWidth="1"/>
    <col min="23" max="23" width="12.8333333333333" style="34" customWidth="1"/>
    <col min="24" max="24" width="12.8333333333333" style="113" customWidth="1"/>
    <col min="25" max="25" width="12.8333333333333" style="34" customWidth="1"/>
    <col min="26" max="26" width="12.8333333333333" style="113" customWidth="1"/>
    <col min="27" max="27" width="12.8333333333333" style="34" customWidth="1"/>
    <col min="28" max="28" width="12.8333333333333" style="113" customWidth="1"/>
  </cols>
  <sheetData>
    <row r="1" ht="15" customHeight="1" spans="1:28">
      <c r="A1" s="114" t="s">
        <v>401</v>
      </c>
      <c r="B1" s="114"/>
      <c r="C1" s="132"/>
      <c r="D1" s="133"/>
      <c r="E1" s="134"/>
      <c r="F1" s="135"/>
      <c r="G1" s="134"/>
      <c r="H1" s="135"/>
      <c r="I1" s="134"/>
      <c r="J1" s="135"/>
      <c r="K1" s="134"/>
      <c r="L1" s="135"/>
      <c r="M1" s="134"/>
      <c r="N1" s="135"/>
      <c r="O1" s="134"/>
      <c r="P1" s="135"/>
      <c r="Q1" s="134"/>
      <c r="R1" s="135"/>
      <c r="S1" s="134"/>
      <c r="T1" s="135"/>
      <c r="U1" s="134"/>
      <c r="V1" s="135"/>
      <c r="W1" s="134"/>
      <c r="X1" s="135"/>
      <c r="Y1" s="134"/>
      <c r="Z1" s="135"/>
      <c r="AA1" s="134"/>
      <c r="AB1" s="135"/>
    </row>
    <row r="2" ht="15" customHeight="1" spans="1:28">
      <c r="A2" s="117" t="s">
        <v>402</v>
      </c>
      <c r="B2" s="117"/>
      <c r="C2" s="136" t="s">
        <v>363</v>
      </c>
      <c r="D2" s="135"/>
      <c r="E2" s="134"/>
      <c r="F2" s="135"/>
      <c r="G2" s="134"/>
      <c r="H2" s="135"/>
      <c r="I2" s="134"/>
      <c r="J2" s="135"/>
      <c r="K2" s="134"/>
      <c r="L2" s="135"/>
      <c r="M2" s="134"/>
      <c r="N2" s="135"/>
      <c r="O2" s="134"/>
      <c r="P2" s="135"/>
      <c r="Q2" s="134"/>
      <c r="R2" s="135"/>
      <c r="S2" s="134"/>
      <c r="T2" s="135"/>
      <c r="U2" s="134"/>
      <c r="V2" s="135"/>
      <c r="W2" s="134"/>
      <c r="X2" s="135"/>
      <c r="Y2" s="134"/>
      <c r="Z2" s="135"/>
      <c r="AA2" s="134"/>
      <c r="AB2" s="135"/>
    </row>
    <row r="3" ht="15" customHeight="1" spans="1:28">
      <c r="A3" s="117" t="s">
        <v>403</v>
      </c>
      <c r="B3" s="122" t="s">
        <v>404</v>
      </c>
      <c r="C3" s="131">
        <f>基本信息!D9</f>
        <v>0</v>
      </c>
      <c r="D3" s="135"/>
      <c r="E3" s="134"/>
      <c r="F3" s="135"/>
      <c r="G3" s="134"/>
      <c r="H3" s="135"/>
      <c r="I3" s="134"/>
      <c r="J3" s="135"/>
      <c r="K3" s="134"/>
      <c r="L3" s="135"/>
      <c r="M3" s="134"/>
      <c r="N3" s="135"/>
      <c r="O3" s="134"/>
      <c r="P3" s="135"/>
      <c r="Q3" s="134"/>
      <c r="R3" s="135"/>
      <c r="S3" s="134"/>
      <c r="T3" s="135"/>
      <c r="U3" s="134"/>
      <c r="V3" s="135"/>
      <c r="W3" s="134"/>
      <c r="X3" s="135"/>
      <c r="Y3" s="134"/>
      <c r="Z3" s="135"/>
      <c r="AA3" s="134"/>
      <c r="AB3" s="135"/>
    </row>
    <row r="4" ht="15" customHeight="1" spans="1:28">
      <c r="A4" s="137"/>
      <c r="B4" s="138" t="s">
        <v>277</v>
      </c>
      <c r="C4" s="139" t="s">
        <v>278</v>
      </c>
      <c r="D4" s="123" t="s">
        <v>279</v>
      </c>
      <c r="E4" s="140" t="s">
        <v>280</v>
      </c>
      <c r="F4" s="123" t="s">
        <v>281</v>
      </c>
      <c r="G4" s="140" t="s">
        <v>282</v>
      </c>
      <c r="H4" s="123" t="s">
        <v>327</v>
      </c>
      <c r="I4" s="140" t="s">
        <v>328</v>
      </c>
      <c r="J4" s="123" t="s">
        <v>329</v>
      </c>
      <c r="K4" s="140" t="s">
        <v>330</v>
      </c>
      <c r="L4" s="123" t="s">
        <v>331</v>
      </c>
      <c r="M4" s="140" t="s">
        <v>332</v>
      </c>
      <c r="N4" s="123" t="s">
        <v>333</v>
      </c>
      <c r="O4" s="140" t="s">
        <v>334</v>
      </c>
      <c r="P4" s="123" t="s">
        <v>335</v>
      </c>
      <c r="Q4" s="140" t="s">
        <v>336</v>
      </c>
      <c r="R4" s="123" t="s">
        <v>337</v>
      </c>
      <c r="S4" s="140" t="s">
        <v>338</v>
      </c>
      <c r="T4" s="123" t="s">
        <v>339</v>
      </c>
      <c r="U4" s="140" t="s">
        <v>340</v>
      </c>
      <c r="V4" s="123" t="s">
        <v>341</v>
      </c>
      <c r="W4" s="140" t="s">
        <v>342</v>
      </c>
      <c r="X4" s="123" t="s">
        <v>343</v>
      </c>
      <c r="Y4" s="140" t="s">
        <v>344</v>
      </c>
      <c r="Z4" s="123" t="s">
        <v>345</v>
      </c>
      <c r="AA4" s="140" t="s">
        <v>346</v>
      </c>
      <c r="AB4" s="123" t="s">
        <v>347</v>
      </c>
    </row>
    <row r="5" ht="15" customHeight="1" spans="1:28">
      <c r="A5" s="117" t="s">
        <v>405</v>
      </c>
      <c r="B5" s="117"/>
      <c r="C5" s="116">
        <f>基本信息!D10</f>
        <v>0</v>
      </c>
      <c r="D5" s="128">
        <f>IF($C$5="P型单玻",D64,IF($C$5="P型双玻",D65,IF($C$5="N型单玻",D66,IF($C$5="N型双玻",D67,IF($C$5="多晶单玻",D68,IF($C$5="多晶双玻",D69,D6))))))*IF(COLUMN()-2&gt;基本参数!$B$2,0,1)</f>
        <v>98</v>
      </c>
      <c r="E5" s="124">
        <f>IF($C$5="P型单玻",E64,IF($C$5="P型双玻",E65,IF($C$5="N型单玻",E66,IF($C$5="N型双玻",E67,IF($C$5="多晶单玻",E68,IF($C$5="多晶双玻",E69,E6))))))*IF(COLUMN()-2&gt;基本参数!$B$2,0,1)</f>
        <v>97.45</v>
      </c>
      <c r="F5" s="124">
        <f>IF($C$5="P型单玻",F64,IF($C$5="P型双玻",F65,IF($C$5="N型单玻",F66,IF($C$5="N型双玻",F67,IF($C$5="多晶单玻",F68,IF($C$5="多晶双玻",F69,F6))))))*IF(COLUMN()-2&gt;基本参数!$B$2,0,1)</f>
        <v>96.9</v>
      </c>
      <c r="G5" s="124">
        <f>IF($C$5="P型单玻",G64,IF($C$5="P型双玻",G65,IF($C$5="N型单玻",G66,IF($C$5="N型双玻",G67,IF($C$5="多晶单玻",G68,IF($C$5="多晶双玻",G69,G6))))))*IF(COLUMN()-2&gt;基本参数!$B$2,0,1)</f>
        <v>96.35</v>
      </c>
      <c r="H5" s="124">
        <f>IF($C$5="P型单玻",H64,IF($C$5="P型双玻",H65,IF($C$5="N型单玻",H66,IF($C$5="N型双玻",H67,IF($C$5="多晶单玻",H68,IF($C$5="多晶双玻",H69,H6))))))*IF(COLUMN()-2&gt;基本参数!$B$2,0,1)</f>
        <v>95.8</v>
      </c>
      <c r="I5" s="124">
        <f>IF($C$5="P型单玻",I64,IF($C$5="P型双玻",I65,IF($C$5="N型单玻",I66,IF($C$5="N型双玻",I67,IF($C$5="多晶单玻",I68,IF($C$5="多晶双玻",I69,I6))))))*IF(COLUMN()-2&gt;基本参数!$B$2,0,1)</f>
        <v>95.25</v>
      </c>
      <c r="J5" s="124">
        <f>IF($C$5="P型单玻",J64,IF($C$5="P型双玻",J65,IF($C$5="N型单玻",J66,IF($C$5="N型双玻",J67,IF($C$5="多晶单玻",J68,IF($C$5="多晶双玻",J69,J6))))))*IF(COLUMN()-2&gt;基本参数!$B$2,0,1)</f>
        <v>94.7</v>
      </c>
      <c r="K5" s="124">
        <f>IF($C$5="P型单玻",K64,IF($C$5="P型双玻",K65,IF($C$5="N型单玻",K66,IF($C$5="N型双玻",K67,IF($C$5="多晶单玻",K68,IF($C$5="多晶双玻",K69,K6))))))*IF(COLUMN()-2&gt;基本参数!$B$2,0,1)</f>
        <v>94.15</v>
      </c>
      <c r="L5" s="124">
        <f>IF($C$5="P型单玻",L64,IF($C$5="P型双玻",L65,IF($C$5="N型单玻",L66,IF($C$5="N型双玻",L67,IF($C$5="多晶单玻",L68,IF($C$5="多晶双玻",L69,L6))))))*IF(COLUMN()-2&gt;基本参数!$B$2,0,1)</f>
        <v>93.6</v>
      </c>
      <c r="M5" s="124">
        <f>IF($C$5="P型单玻",M64,IF($C$5="P型双玻",M65,IF($C$5="N型单玻",M66,IF($C$5="N型双玻",M67,IF($C$5="多晶单玻",M68,IF($C$5="多晶双玻",M69,M6))))))*IF(COLUMN()-2&gt;基本参数!$B$2,0,1)</f>
        <v>93.05</v>
      </c>
      <c r="N5" s="124">
        <f>IF($C$5="P型单玻",N64,IF($C$5="P型双玻",N65,IF($C$5="N型单玻",N66,IF($C$5="N型双玻",N67,IF($C$5="多晶单玻",N68,IF($C$5="多晶双玻",N69,N6))))))*IF(COLUMN()-2&gt;基本参数!$B$2,0,1)</f>
        <v>92.5</v>
      </c>
      <c r="O5" s="124">
        <f>IF($C$5="P型单玻",O64,IF($C$5="P型双玻",O65,IF($C$5="N型单玻",O66,IF($C$5="N型双玻",O67,IF($C$5="多晶单玻",O68,IF($C$5="多晶双玻",O69,O6))))))*IF(COLUMN()-2&gt;基本参数!$B$2,0,1)</f>
        <v>91.95</v>
      </c>
      <c r="P5" s="124">
        <f>IF($C$5="P型单玻",P64,IF($C$5="P型双玻",P65,IF($C$5="N型单玻",P66,IF($C$5="N型双玻",P67,IF($C$5="多晶单玻",P68,IF($C$5="多晶双玻",P69,P6))))))*IF(COLUMN()-2&gt;基本参数!$B$2,0,1)</f>
        <v>91.4</v>
      </c>
      <c r="Q5" s="124">
        <f>IF($C$5="P型单玻",Q64,IF($C$5="P型双玻",Q65,IF($C$5="N型单玻",Q66,IF($C$5="N型双玻",Q67,IF($C$5="多晶单玻",Q68,IF($C$5="多晶双玻",Q69,Q6))))))*IF(COLUMN()-2&gt;基本参数!$B$2,0,1)</f>
        <v>90.85</v>
      </c>
      <c r="R5" s="124">
        <f>IF($C$5="P型单玻",R64,IF($C$5="P型双玻",R65,IF($C$5="N型单玻",R66,IF($C$5="N型双玻",R67,IF($C$5="多晶单玻",R68,IF($C$5="多晶双玻",R69,R6))))))*IF(COLUMN()-2&gt;基本参数!$B$2,0,1)</f>
        <v>90.3</v>
      </c>
      <c r="S5" s="124">
        <f>IF($C$5="P型单玻",S64,IF($C$5="P型双玻",S65,IF($C$5="N型单玻",S66,IF($C$5="N型双玻",S67,IF($C$5="多晶单玻",S68,IF($C$5="多晶双玻",S69,S6))))))*IF(COLUMN()-2&gt;基本参数!$B$2,0,1)</f>
        <v>89.75</v>
      </c>
      <c r="T5" s="124">
        <f>IF($C$5="P型单玻",T64,IF($C$5="P型双玻",T65,IF($C$5="N型单玻",T66,IF($C$5="N型双玻",T67,IF($C$5="多晶单玻",T68,IF($C$5="多晶双玻",T69,T6))))))*IF(COLUMN()-2&gt;基本参数!$B$2,0,1)</f>
        <v>89.2</v>
      </c>
      <c r="U5" s="124">
        <f>IF($C$5="P型单玻",U64,IF($C$5="P型双玻",U65,IF($C$5="N型单玻",U66,IF($C$5="N型双玻",U67,IF($C$5="多晶单玻",U68,IF($C$5="多晶双玻",U69,U6))))))*IF(COLUMN()-2&gt;基本参数!$B$2,0,1)</f>
        <v>88.65</v>
      </c>
      <c r="V5" s="124">
        <f>IF($C$5="P型单玻",V64,IF($C$5="P型双玻",V65,IF($C$5="N型单玻",V66,IF($C$5="N型双玻",V67,IF($C$5="多晶单玻",V68,IF($C$5="多晶双玻",V69,V6))))))*IF(COLUMN()-2&gt;基本参数!$B$2,0,1)</f>
        <v>88.1000000000001</v>
      </c>
      <c r="W5" s="124">
        <f>IF($C$5="P型单玻",W64,IF($C$5="P型双玻",W65,IF($C$5="N型单玻",W66,IF($C$5="N型双玻",W67,IF($C$5="多晶单玻",W68,IF($C$5="多晶双玻",W69,W6))))))*IF(COLUMN()-2&gt;基本参数!$B$2,0,1)</f>
        <v>87.5500000000001</v>
      </c>
      <c r="X5" s="124">
        <f>IF($C$5="P型单玻",X64,IF($C$5="P型双玻",X65,IF($C$5="N型单玻",X66,IF($C$5="N型双玻",X67,IF($C$5="多晶单玻",X68,IF($C$5="多晶双玻",X69,X6))))))*IF(COLUMN()-2&gt;基本参数!$B$2,0,1)</f>
        <v>87.0000000000001</v>
      </c>
      <c r="Y5" s="124">
        <f>IF($C$5="P型单玻",Y64,IF($C$5="P型双玻",Y65,IF($C$5="N型单玻",Y66,IF($C$5="N型双玻",Y67,IF($C$5="多晶单玻",Y68,IF($C$5="多晶双玻",Y69,Y6))))))*IF(COLUMN()-2&gt;基本参数!$B$2,0,1)</f>
        <v>86.4500000000001</v>
      </c>
      <c r="Z5" s="124">
        <f>IF($C$5="P型单玻",Z64,IF($C$5="P型双玻",Z65,IF($C$5="N型单玻",Z66,IF($C$5="N型双玻",Z67,IF($C$5="多晶单玻",Z68,IF($C$5="多晶双玻",Z69,Z6))))))*IF(COLUMN()-2&gt;基本参数!$B$2,0,1)</f>
        <v>85.9000000000001</v>
      </c>
      <c r="AA5" s="124">
        <f>IF($C$5="P型单玻",AA64,IF($C$5="P型双玻",AA65,IF($C$5="N型单玻",AA66,IF($C$5="N型双玻",AA67,IF($C$5="多晶单玻",AA68,IF($C$5="多晶双玻",AA69,AA6))))))*IF(COLUMN()-2&gt;基本参数!$B$2,0,1)</f>
        <v>85.3500000000001</v>
      </c>
      <c r="AB5" s="124">
        <f>IF($C$5="P型单玻",AB64,IF($C$5="P型双玻",AB65,IF($C$5="N型单玻",AB66,IF($C$5="N型双玻",AB67,IF($C$5="多晶单玻",AB68,IF($C$5="多晶双玻",AB69,AB6))))))*IF(COLUMN()-2&gt;基本参数!$B$2,0,1)</f>
        <v>84.8000000000001</v>
      </c>
    </row>
    <row r="6" ht="15" customHeight="1" spans="1:28">
      <c r="A6" s="141" t="s">
        <v>406</v>
      </c>
      <c r="B6" s="142" t="s">
        <v>86</v>
      </c>
      <c r="C6" s="143"/>
      <c r="D6" s="70">
        <v>98</v>
      </c>
      <c r="E6" s="51">
        <v>97.45</v>
      </c>
      <c r="F6" s="51">
        <v>96.9</v>
      </c>
      <c r="G6" s="51">
        <v>96.35</v>
      </c>
      <c r="H6" s="51">
        <v>95.8</v>
      </c>
      <c r="I6" s="51">
        <v>95.25</v>
      </c>
      <c r="J6" s="51">
        <v>94.7</v>
      </c>
      <c r="K6" s="51">
        <v>94.15</v>
      </c>
      <c r="L6" s="51">
        <v>93.6</v>
      </c>
      <c r="M6" s="51">
        <v>93.05</v>
      </c>
      <c r="N6" s="51">
        <v>92.5</v>
      </c>
      <c r="O6" s="51">
        <v>91.95</v>
      </c>
      <c r="P6" s="51">
        <v>91.4</v>
      </c>
      <c r="Q6" s="51">
        <v>90.85</v>
      </c>
      <c r="R6" s="51">
        <v>90.3</v>
      </c>
      <c r="S6" s="51">
        <v>89.75</v>
      </c>
      <c r="T6" s="51">
        <v>89.2</v>
      </c>
      <c r="U6" s="51">
        <v>88.65</v>
      </c>
      <c r="V6" s="51">
        <v>88.1000000000001</v>
      </c>
      <c r="W6" s="51">
        <v>87.5500000000001</v>
      </c>
      <c r="X6" s="51">
        <v>87.0000000000001</v>
      </c>
      <c r="Y6" s="51">
        <v>86.4500000000001</v>
      </c>
      <c r="Z6" s="51">
        <v>85.9000000000001</v>
      </c>
      <c r="AA6" s="51">
        <v>85.3500000000001</v>
      </c>
      <c r="AB6" s="51">
        <v>84.8000000000001</v>
      </c>
    </row>
    <row r="7" ht="15" customHeight="1" spans="1:28">
      <c r="A7" s="144" t="s">
        <v>407</v>
      </c>
      <c r="B7" s="145"/>
      <c r="C7" s="56">
        <f>基本信息!D12</f>
        <v>0</v>
      </c>
      <c r="D7" s="128" t="e">
        <f>IF($C$7="手动输入",D8,VLOOKUP(地区辅助页!$E$1,IF($C$7="标准1",电价电量取值表!$A:$O,电价电量取值表!$Q:$AE),IF(电价电量计算表!D15&gt;2030,15,电价电量计算表!D15-2025+10),FALSE))*IF(COLUMN()-2&gt;基本参数!$B$2,0,100)</f>
        <v>#VALUE!</v>
      </c>
      <c r="E7" s="124" t="e">
        <f>IF($C$7="手动输入",E8,VLOOKUP(地区辅助页!$E$1,IF($C$7="标准1",电价电量取值表!$A:$O,电价电量取值表!$Q:$AE),IF(电价电量计算表!E15&gt;2030,15,电价电量计算表!E15-2025+10),FALSE))*IF(COLUMN()-2&gt;基本参数!$B$2,0,100)</f>
        <v>#VALUE!</v>
      </c>
      <c r="F7" s="128" t="e">
        <f>IF($C$7="手动输入",F8,VLOOKUP(地区辅助页!$E$1,IF($C$7="标准1",电价电量取值表!$A:$O,电价电量取值表!$Q:$AE),IF(电价电量计算表!F15&gt;2030,15,电价电量计算表!F15-2025+10),FALSE))*IF(COLUMN()-2&gt;基本参数!$B$2,0,100)</f>
        <v>#VALUE!</v>
      </c>
      <c r="G7" s="124" t="e">
        <f>IF($C$7="手动输入",G8,VLOOKUP(地区辅助页!$E$1,IF($C$7="标准1",电价电量取值表!$A:$O,电价电量取值表!$Q:$AE),IF(电价电量计算表!G15&gt;2030,15,电价电量计算表!G15-2025+10),FALSE))*IF(COLUMN()-2&gt;基本参数!$B$2,0,100)</f>
        <v>#VALUE!</v>
      </c>
      <c r="H7" s="128" t="e">
        <f>IF($C$7="手动输入",H8,VLOOKUP(地区辅助页!$E$1,IF($C$7="标准1",电价电量取值表!$A:$O,电价电量取值表!$Q:$AE),IF(电价电量计算表!H15&gt;2030,15,电价电量计算表!H15-2025+10),FALSE))*IF(COLUMN()-2&gt;基本参数!$B$2,0,100)</f>
        <v>#VALUE!</v>
      </c>
      <c r="I7" s="124" t="e">
        <f>IF($C$7="手动输入",I8,VLOOKUP(地区辅助页!$E$1,IF($C$7="标准1",电价电量取值表!$A:$O,电价电量取值表!$Q:$AE),IF(电价电量计算表!I15&gt;2030,15,电价电量计算表!I15-2025+10),FALSE))*IF(COLUMN()-2&gt;基本参数!$B$2,0,100)</f>
        <v>#VALUE!</v>
      </c>
      <c r="J7" s="128" t="e">
        <f>IF($C$7="手动输入",J8,VLOOKUP(地区辅助页!$E$1,IF($C$7="标准1",电价电量取值表!$A:$O,电价电量取值表!$Q:$AE),IF(电价电量计算表!J15&gt;2030,15,电价电量计算表!J15-2025+10),FALSE))*IF(COLUMN()-2&gt;基本参数!$B$2,0,100)</f>
        <v>#VALUE!</v>
      </c>
      <c r="K7" s="124" t="e">
        <f>IF($C$7="手动输入",K8,VLOOKUP(地区辅助页!$E$1,IF($C$7="标准1",电价电量取值表!$A:$O,电价电量取值表!$Q:$AE),IF(电价电量计算表!K15&gt;2030,15,电价电量计算表!K15-2025+10),FALSE))*IF(COLUMN()-2&gt;基本参数!$B$2,0,100)</f>
        <v>#VALUE!</v>
      </c>
      <c r="L7" s="128" t="e">
        <f>IF($C$7="手动输入",L8,VLOOKUP(地区辅助页!$E$1,IF($C$7="标准1",电价电量取值表!$A:$O,电价电量取值表!$Q:$AE),IF(电价电量计算表!L15&gt;2030,15,电价电量计算表!L15-2025+10),FALSE))*IF(COLUMN()-2&gt;基本参数!$B$2,0,100)</f>
        <v>#VALUE!</v>
      </c>
      <c r="M7" s="124" t="e">
        <f>IF($C$7="手动输入",M8,VLOOKUP(地区辅助页!$E$1,IF($C$7="标准1",电价电量取值表!$A:$O,电价电量取值表!$Q:$AE),IF(电价电量计算表!M15&gt;2030,15,电价电量计算表!M15-2025+10),FALSE))*IF(COLUMN()-2&gt;基本参数!$B$2,0,100)</f>
        <v>#VALUE!</v>
      </c>
      <c r="N7" s="128" t="e">
        <f>IF($C$7="手动输入",N8,VLOOKUP(地区辅助页!$E$1,IF($C$7="标准1",电价电量取值表!$A:$O,电价电量取值表!$Q:$AE),IF(电价电量计算表!N15&gt;2030,15,电价电量计算表!N15-2025+10),FALSE))*IF(COLUMN()-2&gt;基本参数!$B$2,0,100)</f>
        <v>#VALUE!</v>
      </c>
      <c r="O7" s="124" t="e">
        <f>IF($C$7="手动输入",O8,VLOOKUP(地区辅助页!$E$1,IF($C$7="标准1",电价电量取值表!$A:$O,电价电量取值表!$Q:$AE),IF(电价电量计算表!O15&gt;2030,15,电价电量计算表!O15-2025+10),FALSE))*IF(COLUMN()-2&gt;基本参数!$B$2,0,100)</f>
        <v>#VALUE!</v>
      </c>
      <c r="P7" s="128" t="e">
        <f>IF($C$7="手动输入",P8,VLOOKUP(地区辅助页!$E$1,IF($C$7="标准1",电价电量取值表!$A:$O,电价电量取值表!$Q:$AE),IF(电价电量计算表!P15&gt;2030,15,电价电量计算表!P15-2025+10),FALSE))*IF(COLUMN()-2&gt;基本参数!$B$2,0,100)</f>
        <v>#VALUE!</v>
      </c>
      <c r="Q7" s="124" t="e">
        <f>IF($C$7="手动输入",Q8,VLOOKUP(地区辅助页!$E$1,IF($C$7="标准1",电价电量取值表!$A:$O,电价电量取值表!$Q:$AE),IF(电价电量计算表!Q15&gt;2030,15,电价电量计算表!Q15-2025+10),FALSE))*IF(COLUMN()-2&gt;基本参数!$B$2,0,100)</f>
        <v>#VALUE!</v>
      </c>
      <c r="R7" s="128" t="e">
        <f>IF($C$7="手动输入",R8,VLOOKUP(地区辅助页!$E$1,IF($C$7="标准1",电价电量取值表!$A:$O,电价电量取值表!$Q:$AE),IF(电价电量计算表!R15&gt;2030,15,电价电量计算表!R15-2025+10),FALSE))*IF(COLUMN()-2&gt;基本参数!$B$2,0,100)</f>
        <v>#VALUE!</v>
      </c>
      <c r="S7" s="124" t="e">
        <f>IF($C$7="手动输入",S8,VLOOKUP(地区辅助页!$E$1,IF($C$7="标准1",电价电量取值表!$A:$O,电价电量取值表!$Q:$AE),IF(电价电量计算表!S15&gt;2030,15,电价电量计算表!S15-2025+10),FALSE))*IF(COLUMN()-2&gt;基本参数!$B$2,0,100)</f>
        <v>#VALUE!</v>
      </c>
      <c r="T7" s="128" t="e">
        <f>IF($C$7="手动输入",T8,VLOOKUP(地区辅助页!$E$1,IF($C$7="标准1",电价电量取值表!$A:$O,电价电量取值表!$Q:$AE),IF(电价电量计算表!T15&gt;2030,15,电价电量计算表!T15-2025+10),FALSE))*IF(COLUMN()-2&gt;基本参数!$B$2,0,100)</f>
        <v>#VALUE!</v>
      </c>
      <c r="U7" s="124" t="e">
        <f>IF($C$7="手动输入",U8,VLOOKUP(地区辅助页!$E$1,IF($C$7="标准1",电价电量取值表!$A:$O,电价电量取值表!$Q:$AE),IF(电价电量计算表!U15&gt;2030,15,电价电量计算表!U15-2025+10),FALSE))*IF(COLUMN()-2&gt;基本参数!$B$2,0,100)</f>
        <v>#VALUE!</v>
      </c>
      <c r="V7" s="128" t="e">
        <f>IF($C$7="手动输入",V8,VLOOKUP(地区辅助页!$E$1,IF($C$7="标准1",电价电量取值表!$A:$O,电价电量取值表!$Q:$AE),IF(电价电量计算表!V15&gt;2030,15,电价电量计算表!V15-2025+10),FALSE))*IF(COLUMN()-2&gt;基本参数!$B$2,0,100)</f>
        <v>#VALUE!</v>
      </c>
      <c r="W7" s="124" t="e">
        <f>IF($C$7="手动输入",W8,VLOOKUP(地区辅助页!$E$1,IF($C$7="标准1",电价电量取值表!$A:$O,电价电量取值表!$Q:$AE),IF(电价电量计算表!W15&gt;2030,15,电价电量计算表!W15-2025+10),FALSE))*IF(COLUMN()-2&gt;基本参数!$B$2,0,100)</f>
        <v>#VALUE!</v>
      </c>
      <c r="X7" s="128" t="e">
        <f>IF($C$7="手动输入",X8,VLOOKUP(地区辅助页!$E$1,IF($C$7="标准1",电价电量取值表!$A:$O,电价电量取值表!$Q:$AE),IF(电价电量计算表!X15&gt;2030,15,电价电量计算表!X15-2025+10),FALSE))*IF(COLUMN()-2&gt;基本参数!$B$2,0,100)</f>
        <v>#VALUE!</v>
      </c>
      <c r="Y7" s="124" t="e">
        <f>IF($C$7="手动输入",Y8,VLOOKUP(地区辅助页!$E$1,IF($C$7="标准1",电价电量取值表!$A:$O,电价电量取值表!$Q:$AE),IF(电价电量计算表!Y15&gt;2030,15,电价电量计算表!Y15-2025+10),FALSE))*IF(COLUMN()-2&gt;基本参数!$B$2,0,100)</f>
        <v>#VALUE!</v>
      </c>
      <c r="Z7" s="128" t="e">
        <f>IF($C$7="手动输入",Z8,VLOOKUP(地区辅助页!$E$1,IF($C$7="标准1",电价电量取值表!$A:$O,电价电量取值表!$Q:$AE),IF(电价电量计算表!Z15&gt;2030,15,电价电量计算表!Z15-2025+10),FALSE))*IF(COLUMN()-2&gt;基本参数!$B$2,0,100)</f>
        <v>#VALUE!</v>
      </c>
      <c r="AA7" s="124" t="e">
        <f>IF($C$7="手动输入",AA8,VLOOKUP(地区辅助页!$E$1,IF($C$7="标准1",电价电量取值表!$A:$O,电价电量取值表!$Q:$AE),IF(电价电量计算表!AA15&gt;2030,15,电价电量计算表!AA15-2025+10),FALSE))*IF(COLUMN()-2&gt;基本参数!$B$2,0,100)</f>
        <v>#VALUE!</v>
      </c>
      <c r="AB7" s="128" t="e">
        <f>IF($C$7="手动输入",AB8,VLOOKUP(地区辅助页!$E$1,IF($C$7="标准1",电价电量取值表!$A:$O,电价电量取值表!$Q:$AE),IF(电价电量计算表!AB15&gt;2030,15,电价电量计算表!AB15-2025+10),FALSE))*IF(COLUMN()-2&gt;基本参数!$B$2,0,100)</f>
        <v>#VALUE!</v>
      </c>
    </row>
    <row r="8" ht="15" customHeight="1" spans="1:28">
      <c r="A8" s="141" t="s">
        <v>408</v>
      </c>
      <c r="B8" s="142" t="s">
        <v>86</v>
      </c>
      <c r="C8" s="128"/>
      <c r="D8" s="70"/>
      <c r="E8" s="51"/>
      <c r="F8" s="70"/>
      <c r="G8" s="51"/>
      <c r="H8" s="70"/>
      <c r="I8" s="51"/>
      <c r="J8" s="70"/>
      <c r="K8" s="51"/>
      <c r="L8" s="70"/>
      <c r="M8" s="51"/>
      <c r="N8" s="70"/>
      <c r="O8" s="51"/>
      <c r="P8" s="70"/>
      <c r="Q8" s="51"/>
      <c r="R8" s="70"/>
      <c r="S8" s="51"/>
      <c r="T8" s="70"/>
      <c r="U8" s="51"/>
      <c r="V8" s="70"/>
      <c r="W8" s="51"/>
      <c r="X8" s="70"/>
      <c r="Y8" s="51"/>
      <c r="Z8" s="70"/>
      <c r="AA8" s="51"/>
      <c r="AB8" s="70"/>
    </row>
    <row r="9" ht="15" customHeight="1" spans="1:28">
      <c r="A9" s="117" t="s">
        <v>409</v>
      </c>
      <c r="B9" s="122" t="s">
        <v>410</v>
      </c>
      <c r="C9" s="128"/>
      <c r="D9" s="70">
        <v>0</v>
      </c>
      <c r="E9" s="70">
        <f t="shared" ref="E9:AB9" si="0">D9</f>
        <v>0</v>
      </c>
      <c r="F9" s="70">
        <f t="shared" si="0"/>
        <v>0</v>
      </c>
      <c r="G9" s="70">
        <f t="shared" si="0"/>
        <v>0</v>
      </c>
      <c r="H9" s="70">
        <f t="shared" si="0"/>
        <v>0</v>
      </c>
      <c r="I9" s="70">
        <f t="shared" si="0"/>
        <v>0</v>
      </c>
      <c r="J9" s="70">
        <f t="shared" si="0"/>
        <v>0</v>
      </c>
      <c r="K9" s="70">
        <f t="shared" si="0"/>
        <v>0</v>
      </c>
      <c r="L9" s="70">
        <f t="shared" si="0"/>
        <v>0</v>
      </c>
      <c r="M9" s="70">
        <f t="shared" si="0"/>
        <v>0</v>
      </c>
      <c r="N9" s="70">
        <f t="shared" si="0"/>
        <v>0</v>
      </c>
      <c r="O9" s="70">
        <f t="shared" si="0"/>
        <v>0</v>
      </c>
      <c r="P9" s="70">
        <f t="shared" si="0"/>
        <v>0</v>
      </c>
      <c r="Q9" s="70">
        <f t="shared" si="0"/>
        <v>0</v>
      </c>
      <c r="R9" s="70">
        <f t="shared" si="0"/>
        <v>0</v>
      </c>
      <c r="S9" s="70">
        <f t="shared" si="0"/>
        <v>0</v>
      </c>
      <c r="T9" s="70">
        <f t="shared" si="0"/>
        <v>0</v>
      </c>
      <c r="U9" s="70">
        <f t="shared" si="0"/>
        <v>0</v>
      </c>
      <c r="V9" s="70">
        <f t="shared" si="0"/>
        <v>0</v>
      </c>
      <c r="W9" s="70">
        <f t="shared" si="0"/>
        <v>0</v>
      </c>
      <c r="X9" s="70">
        <f t="shared" si="0"/>
        <v>0</v>
      </c>
      <c r="Y9" s="70">
        <f t="shared" si="0"/>
        <v>0</v>
      </c>
      <c r="Z9" s="70">
        <f t="shared" si="0"/>
        <v>0</v>
      </c>
      <c r="AA9" s="70">
        <f t="shared" si="0"/>
        <v>0</v>
      </c>
      <c r="AB9" s="70">
        <f t="shared" si="0"/>
        <v>0</v>
      </c>
    </row>
    <row r="10" ht="15" customHeight="1" spans="1:28">
      <c r="A10" s="117" t="s">
        <v>411</v>
      </c>
      <c r="B10" s="122" t="s">
        <v>410</v>
      </c>
      <c r="C10" s="146"/>
      <c r="D10" s="147" t="e">
        <f>IF($C$2="手动输入",D9,$C$3*IF($C$5="手动输入",D6,D5)/100*IF($C$7="手动输入",100-D8,100-D7)/100*基本参数!$B$7)</f>
        <v>#VALUE!</v>
      </c>
      <c r="E10" s="148" t="e">
        <f>IF($C$2="手动输入",E9,$C$3*IF($C$5="手动输入",E6,E5)/100*IF($C$7="手动输入",100-E8,100-E7)/100*基本参数!$B$7)</f>
        <v>#VALUE!</v>
      </c>
      <c r="F10" s="147" t="e">
        <f>IF($C$2="手动输入",F9,$C$3*IF($C$5="手动输入",F6,F5)/100*IF($C$7="手动输入",100-F8,100-F7)/100*基本参数!$B$7)</f>
        <v>#VALUE!</v>
      </c>
      <c r="G10" s="148" t="e">
        <f>IF($C$2="手动输入",G9,$C$3*IF($C$5="手动输入",G6,G5)/100*IF($C$7="手动输入",100-G8,100-G7)/100*基本参数!$B$7)</f>
        <v>#VALUE!</v>
      </c>
      <c r="H10" s="147" t="e">
        <f>IF($C$2="手动输入",H9,$C$3*IF($C$5="手动输入",H6,H5)/100*IF($C$7="手动输入",100-H8,100-H7)/100*基本参数!$B$7)</f>
        <v>#VALUE!</v>
      </c>
      <c r="I10" s="148" t="e">
        <f>IF($C$2="手动输入",I9,$C$3*IF($C$5="手动输入",I6,I5)/100*IF($C$7="手动输入",100-I8,100-I7)/100*基本参数!$B$7)</f>
        <v>#VALUE!</v>
      </c>
      <c r="J10" s="147" t="e">
        <f>IF($C$2="手动输入",J9,$C$3*IF($C$5="手动输入",J6,J5)/100*IF($C$7="手动输入",100-J8,100-J7)/100*基本参数!$B$7)</f>
        <v>#VALUE!</v>
      </c>
      <c r="K10" s="148" t="e">
        <f>IF($C$2="手动输入",K9,$C$3*IF($C$5="手动输入",K6,K5)/100*IF($C$7="手动输入",100-K8,100-K7)/100*基本参数!$B$7)</f>
        <v>#VALUE!</v>
      </c>
      <c r="L10" s="147" t="e">
        <f>IF($C$2="手动输入",L9,$C$3*IF($C$5="手动输入",L6,L5)/100*IF($C$7="手动输入",100-L8,100-L7)/100*基本参数!$B$7)</f>
        <v>#VALUE!</v>
      </c>
      <c r="M10" s="148" t="e">
        <f>IF($C$2="手动输入",M9,$C$3*IF($C$5="手动输入",M6,M5)/100*IF($C$7="手动输入",100-M8,100-M7)/100*基本参数!$B$7)</f>
        <v>#VALUE!</v>
      </c>
      <c r="N10" s="147" t="e">
        <f>IF($C$2="手动输入",N9,$C$3*IF($C$5="手动输入",N6,N5)/100*IF($C$7="手动输入",100-N8,100-N7)/100*基本参数!$B$7)</f>
        <v>#VALUE!</v>
      </c>
      <c r="O10" s="148" t="e">
        <f>IF($C$2="手动输入",O9,$C$3*IF($C$5="手动输入",O6,O5)/100*IF($C$7="手动输入",100-O8,100-O7)/100*基本参数!$B$7)</f>
        <v>#VALUE!</v>
      </c>
      <c r="P10" s="147" t="e">
        <f>IF($C$2="手动输入",P9,$C$3*IF($C$5="手动输入",P6,P5)/100*IF($C$7="手动输入",100-P8,100-P7)/100*基本参数!$B$7)</f>
        <v>#VALUE!</v>
      </c>
      <c r="Q10" s="148" t="e">
        <f>IF($C$2="手动输入",Q9,$C$3*IF($C$5="手动输入",Q6,Q5)/100*IF($C$7="手动输入",100-Q8,100-Q7)/100*基本参数!$B$7)</f>
        <v>#VALUE!</v>
      </c>
      <c r="R10" s="147" t="e">
        <f>IF($C$2="手动输入",R9,$C$3*IF($C$5="手动输入",R6,R5)/100*IF($C$7="手动输入",100-R8,100-R7)/100*基本参数!$B$7)</f>
        <v>#VALUE!</v>
      </c>
      <c r="S10" s="148" t="e">
        <f>IF($C$2="手动输入",S9,$C$3*IF($C$5="手动输入",S6,S5)/100*IF($C$7="手动输入",100-S8,100-S7)/100*基本参数!$B$7)</f>
        <v>#VALUE!</v>
      </c>
      <c r="T10" s="147" t="e">
        <f>IF($C$2="手动输入",T9,$C$3*IF($C$5="手动输入",T6,T5)/100*IF($C$7="手动输入",100-T8,100-T7)/100*基本参数!$B$7)</f>
        <v>#VALUE!</v>
      </c>
      <c r="U10" s="148" t="e">
        <f>IF($C$2="手动输入",U9,$C$3*IF($C$5="手动输入",U6,U5)/100*IF($C$7="手动输入",100-U8,100-U7)/100*基本参数!$B$7)</f>
        <v>#VALUE!</v>
      </c>
      <c r="V10" s="147" t="e">
        <f>IF($C$2="手动输入",V9,$C$3*IF($C$5="手动输入",V6,V5)/100*IF($C$7="手动输入",100-V8,100-V7)/100*基本参数!$B$7)</f>
        <v>#VALUE!</v>
      </c>
      <c r="W10" s="148" t="e">
        <f>IF($C$2="手动输入",W9,$C$3*IF($C$5="手动输入",W6,W5)/100*IF($C$7="手动输入",100-W8,100-W7)/100*基本参数!$B$7)</f>
        <v>#VALUE!</v>
      </c>
      <c r="X10" s="147" t="e">
        <f>IF($C$2="手动输入",X9,$C$3*IF($C$5="手动输入",X6,X5)/100*IF($C$7="手动输入",100-X8,100-X7)/100*基本参数!$B$7)</f>
        <v>#VALUE!</v>
      </c>
      <c r="Y10" s="148" t="e">
        <f>IF($C$2="手动输入",Y9,$C$3*IF($C$5="手动输入",Y6,Y5)/100*IF($C$7="手动输入",100-Y8,100-Y7)/100*基本参数!$B$7)</f>
        <v>#VALUE!</v>
      </c>
      <c r="Z10" s="147" t="e">
        <f>IF($C$2="手动输入",Z9,$C$3*IF($C$5="手动输入",Z6,Z5)/100*IF($C$7="手动输入",100-Z8,100-Z7)/100*基本参数!$B$7)</f>
        <v>#VALUE!</v>
      </c>
      <c r="AA10" s="148" t="e">
        <f>IF($C$2="手动输入",AA9,$C$3*IF($C$5="手动输入",AA6,AA5)/100*IF($C$7="手动输入",100-AA8,100-AA7)/100*基本参数!$B$7)</f>
        <v>#VALUE!</v>
      </c>
      <c r="AB10" s="147" t="e">
        <f>IF($C$2="手动输入",AB9,$C$3*IF($C$5="手动输入",AB6,AB5)/100*IF($C$7="手动输入",100-AB8,100-AB7)/100*基本参数!$B$7)</f>
        <v>#VALUE!</v>
      </c>
    </row>
    <row r="11" ht="15" customHeight="1" spans="1:28">
      <c r="A11" s="114" t="s">
        <v>412</v>
      </c>
      <c r="B11" s="114"/>
      <c r="C11" s="132"/>
      <c r="D11" s="133"/>
      <c r="E11" s="134"/>
      <c r="F11" s="135"/>
      <c r="G11" s="134"/>
      <c r="H11" s="135"/>
      <c r="I11" s="134"/>
      <c r="J11" s="135"/>
      <c r="K11" s="134"/>
      <c r="L11" s="135"/>
      <c r="M11" s="134"/>
      <c r="N11" s="135"/>
      <c r="O11" s="134"/>
      <c r="P11" s="135"/>
      <c r="Q11" s="134"/>
      <c r="R11" s="135"/>
      <c r="S11" s="134"/>
      <c r="T11" s="135"/>
      <c r="U11" s="134"/>
      <c r="V11" s="135"/>
      <c r="W11" s="134"/>
      <c r="X11" s="135"/>
      <c r="Y11" s="134"/>
      <c r="Z11" s="135"/>
      <c r="AA11" s="134"/>
      <c r="AB11" s="135"/>
    </row>
    <row r="12" ht="15" customHeight="1" spans="1:28">
      <c r="A12" s="117" t="s">
        <v>412</v>
      </c>
      <c r="B12" s="122" t="s">
        <v>86</v>
      </c>
      <c r="C12" s="70">
        <v>100</v>
      </c>
      <c r="D12" s="135"/>
      <c r="E12" s="134"/>
      <c r="F12" s="135"/>
      <c r="G12" s="134"/>
      <c r="H12" s="135"/>
      <c r="I12" s="134"/>
      <c r="J12" s="135"/>
      <c r="K12" s="134"/>
      <c r="L12" s="135"/>
      <c r="M12" s="134"/>
      <c r="N12" s="135"/>
      <c r="O12" s="134"/>
      <c r="P12" s="135"/>
      <c r="Q12" s="134"/>
      <c r="R12" s="135"/>
      <c r="S12" s="134"/>
      <c r="T12" s="135"/>
      <c r="U12" s="134"/>
      <c r="V12" s="135"/>
      <c r="W12" s="134"/>
      <c r="X12" s="135"/>
      <c r="Y12" s="134"/>
      <c r="Z12" s="135"/>
      <c r="AA12" s="134"/>
      <c r="AB12" s="135"/>
    </row>
    <row r="13" ht="15" customHeight="1" spans="1:28">
      <c r="A13" s="114" t="s">
        <v>413</v>
      </c>
      <c r="B13" s="114"/>
      <c r="C13" s="132"/>
      <c r="D13" s="135"/>
      <c r="E13" s="134"/>
      <c r="F13" s="135"/>
      <c r="G13" s="134"/>
      <c r="H13" s="135"/>
      <c r="I13" s="134"/>
      <c r="J13" s="135"/>
      <c r="K13" s="134"/>
      <c r="L13" s="135"/>
      <c r="M13" s="134"/>
      <c r="N13" s="135"/>
      <c r="O13" s="134"/>
      <c r="P13" s="135"/>
      <c r="Q13" s="134"/>
      <c r="R13" s="135"/>
      <c r="S13" s="134"/>
      <c r="T13" s="135"/>
      <c r="U13" s="134"/>
      <c r="V13" s="135"/>
      <c r="W13" s="134"/>
      <c r="X13" s="135"/>
      <c r="Y13" s="134"/>
      <c r="Z13" s="135"/>
      <c r="AA13" s="134"/>
      <c r="AB13" s="135"/>
    </row>
    <row r="14" ht="15" customHeight="1" spans="1:28">
      <c r="A14" s="117" t="s">
        <v>414</v>
      </c>
      <c r="B14" s="122" t="s">
        <v>415</v>
      </c>
      <c r="C14" s="116" t="s">
        <v>30</v>
      </c>
      <c r="D14" s="135"/>
      <c r="E14" s="134"/>
      <c r="F14" s="135"/>
      <c r="G14" s="134"/>
      <c r="H14" s="135"/>
      <c r="I14" s="134"/>
      <c r="J14" s="135"/>
      <c r="K14" s="134"/>
      <c r="L14" s="135"/>
      <c r="M14" s="134"/>
      <c r="N14" s="135"/>
      <c r="O14" s="134"/>
      <c r="P14" s="135"/>
      <c r="Q14" s="134"/>
      <c r="R14" s="135"/>
      <c r="S14" s="134"/>
      <c r="T14" s="135"/>
      <c r="U14" s="134"/>
      <c r="V14" s="135"/>
      <c r="W14" s="134"/>
      <c r="X14" s="135"/>
      <c r="Y14" s="134"/>
      <c r="Z14" s="135"/>
      <c r="AA14" s="134"/>
      <c r="AB14" s="135"/>
    </row>
    <row r="15" ht="15" customHeight="1" spans="1:28">
      <c r="A15" s="117"/>
      <c r="B15" s="122" t="s">
        <v>277</v>
      </c>
      <c r="C15" s="139" t="s">
        <v>278</v>
      </c>
      <c r="D15" s="123" t="s">
        <v>279</v>
      </c>
      <c r="E15" s="140" t="s">
        <v>280</v>
      </c>
      <c r="F15" s="123" t="s">
        <v>281</v>
      </c>
      <c r="G15" s="140" t="s">
        <v>282</v>
      </c>
      <c r="H15" s="123" t="s">
        <v>327</v>
      </c>
      <c r="I15" s="140" t="s">
        <v>328</v>
      </c>
      <c r="J15" s="123" t="s">
        <v>329</v>
      </c>
      <c r="K15" s="140" t="s">
        <v>330</v>
      </c>
      <c r="L15" s="123" t="s">
        <v>331</v>
      </c>
      <c r="M15" s="140" t="s">
        <v>332</v>
      </c>
      <c r="N15" s="123" t="s">
        <v>333</v>
      </c>
      <c r="O15" s="140" t="s">
        <v>334</v>
      </c>
      <c r="P15" s="123" t="s">
        <v>335</v>
      </c>
      <c r="Q15" s="140" t="s">
        <v>336</v>
      </c>
      <c r="R15" s="123" t="s">
        <v>337</v>
      </c>
      <c r="S15" s="140" t="s">
        <v>338</v>
      </c>
      <c r="T15" s="123" t="s">
        <v>339</v>
      </c>
      <c r="U15" s="140" t="s">
        <v>340</v>
      </c>
      <c r="V15" s="123" t="s">
        <v>341</v>
      </c>
      <c r="W15" s="140" t="s">
        <v>342</v>
      </c>
      <c r="X15" s="123" t="s">
        <v>343</v>
      </c>
      <c r="Y15" s="140" t="s">
        <v>344</v>
      </c>
      <c r="Z15" s="123" t="s">
        <v>345</v>
      </c>
      <c r="AA15" s="140" t="s">
        <v>346</v>
      </c>
      <c r="AB15" s="123" t="s">
        <v>347</v>
      </c>
    </row>
    <row r="16" ht="15" customHeight="1" spans="1:28">
      <c r="A16" s="117" t="s">
        <v>416</v>
      </c>
      <c r="B16" s="122" t="s">
        <v>86</v>
      </c>
      <c r="C16" s="149"/>
      <c r="D16" s="150">
        <v>13</v>
      </c>
      <c r="E16" s="150">
        <f t="shared" ref="E16:AB16" si="1">D16</f>
        <v>13</v>
      </c>
      <c r="F16" s="150">
        <f t="shared" si="1"/>
        <v>13</v>
      </c>
      <c r="G16" s="150">
        <f t="shared" si="1"/>
        <v>13</v>
      </c>
      <c r="H16" s="150">
        <f t="shared" si="1"/>
        <v>13</v>
      </c>
      <c r="I16" s="150">
        <f t="shared" si="1"/>
        <v>13</v>
      </c>
      <c r="J16" s="150">
        <f t="shared" si="1"/>
        <v>13</v>
      </c>
      <c r="K16" s="150">
        <f t="shared" si="1"/>
        <v>13</v>
      </c>
      <c r="L16" s="150">
        <f t="shared" si="1"/>
        <v>13</v>
      </c>
      <c r="M16" s="150">
        <f t="shared" si="1"/>
        <v>13</v>
      </c>
      <c r="N16" s="150">
        <f t="shared" si="1"/>
        <v>13</v>
      </c>
      <c r="O16" s="150">
        <f t="shared" si="1"/>
        <v>13</v>
      </c>
      <c r="P16" s="150">
        <f t="shared" si="1"/>
        <v>13</v>
      </c>
      <c r="Q16" s="150">
        <f t="shared" si="1"/>
        <v>13</v>
      </c>
      <c r="R16" s="150">
        <f t="shared" si="1"/>
        <v>13</v>
      </c>
      <c r="S16" s="150">
        <f t="shared" si="1"/>
        <v>13</v>
      </c>
      <c r="T16" s="150">
        <f t="shared" si="1"/>
        <v>13</v>
      </c>
      <c r="U16" s="150">
        <f t="shared" si="1"/>
        <v>13</v>
      </c>
      <c r="V16" s="150">
        <f t="shared" si="1"/>
        <v>13</v>
      </c>
      <c r="W16" s="150">
        <f t="shared" si="1"/>
        <v>13</v>
      </c>
      <c r="X16" s="150">
        <f t="shared" si="1"/>
        <v>13</v>
      </c>
      <c r="Y16" s="150">
        <f t="shared" si="1"/>
        <v>13</v>
      </c>
      <c r="Z16" s="150">
        <f t="shared" si="1"/>
        <v>13</v>
      </c>
      <c r="AA16" s="150">
        <f t="shared" si="1"/>
        <v>13</v>
      </c>
      <c r="AB16" s="150">
        <f t="shared" si="1"/>
        <v>13</v>
      </c>
    </row>
    <row r="17" ht="15" customHeight="1" spans="1:28">
      <c r="A17" s="114" t="s">
        <v>417</v>
      </c>
      <c r="B17" s="114"/>
      <c r="C17" s="132"/>
      <c r="D17" s="133"/>
      <c r="E17" s="134"/>
      <c r="F17" s="135"/>
      <c r="G17" s="134"/>
      <c r="H17" s="135"/>
      <c r="I17" s="134"/>
      <c r="J17" s="135"/>
      <c r="K17" s="134"/>
      <c r="L17" s="135"/>
      <c r="M17" s="134"/>
      <c r="N17" s="135"/>
      <c r="O17" s="134"/>
      <c r="P17" s="135"/>
      <c r="Q17" s="134"/>
      <c r="R17" s="135"/>
      <c r="S17" s="134"/>
      <c r="T17" s="135"/>
      <c r="U17" s="134"/>
      <c r="V17" s="135"/>
      <c r="W17" s="134"/>
      <c r="X17" s="135"/>
      <c r="Y17" s="134"/>
      <c r="Z17" s="135"/>
      <c r="AA17" s="134"/>
      <c r="AB17" s="135"/>
    </row>
    <row r="18" ht="15" customHeight="1" spans="1:28">
      <c r="A18" s="122" t="s">
        <v>350</v>
      </c>
      <c r="B18" s="122"/>
      <c r="C18" s="23" t="s">
        <v>363</v>
      </c>
      <c r="D18" s="135"/>
      <c r="E18" s="134"/>
      <c r="F18" s="135"/>
      <c r="G18" s="134"/>
      <c r="H18" s="135"/>
      <c r="I18" s="134"/>
      <c r="J18" s="135"/>
      <c r="K18" s="134"/>
      <c r="L18" s="135"/>
      <c r="M18" s="134"/>
      <c r="N18" s="135"/>
      <c r="O18" s="134"/>
      <c r="P18" s="135"/>
      <c r="Q18" s="134"/>
      <c r="R18" s="135"/>
      <c r="S18" s="134"/>
      <c r="T18" s="135"/>
      <c r="U18" s="134"/>
      <c r="V18" s="135"/>
      <c r="W18" s="134"/>
      <c r="X18" s="135"/>
      <c r="Y18" s="134"/>
      <c r="Z18" s="135"/>
      <c r="AA18" s="134"/>
      <c r="AB18" s="135"/>
    </row>
    <row r="19" ht="15" customHeight="1" spans="1:28">
      <c r="A19" s="117" t="s">
        <v>418</v>
      </c>
      <c r="B19" s="122" t="s">
        <v>419</v>
      </c>
      <c r="C19" s="23" t="str">
        <f>IF(_xlfn.XLOOKUP(基本信息!D11,地区辅助页!B:B,地区辅助页!A:A,"",0)&gt;20,"是","否")</f>
        <v>否</v>
      </c>
      <c r="D19" s="135"/>
      <c r="E19" s="134"/>
      <c r="F19" s="135"/>
      <c r="G19" s="134"/>
      <c r="H19" s="135"/>
      <c r="I19" s="134"/>
      <c r="J19" s="135"/>
      <c r="K19" s="134"/>
      <c r="L19" s="135"/>
      <c r="M19" s="134"/>
      <c r="N19" s="135"/>
      <c r="O19" s="134"/>
      <c r="P19" s="135"/>
      <c r="Q19" s="134"/>
      <c r="R19" s="135"/>
      <c r="S19" s="134"/>
      <c r="T19" s="135"/>
      <c r="U19" s="134"/>
      <c r="V19" s="135"/>
      <c r="W19" s="134"/>
      <c r="X19" s="135"/>
      <c r="Y19" s="134"/>
      <c r="Z19" s="135"/>
      <c r="AA19" s="134"/>
      <c r="AB19" s="135"/>
    </row>
    <row r="20" ht="15" customHeight="1" spans="1:28">
      <c r="A20" s="117"/>
      <c r="B20" s="122" t="s">
        <v>277</v>
      </c>
      <c r="C20" s="139" t="s">
        <v>278</v>
      </c>
      <c r="D20" s="123" t="s">
        <v>279</v>
      </c>
      <c r="E20" s="140" t="s">
        <v>280</v>
      </c>
      <c r="F20" s="123" t="s">
        <v>281</v>
      </c>
      <c r="G20" s="140" t="s">
        <v>282</v>
      </c>
      <c r="H20" s="123" t="s">
        <v>327</v>
      </c>
      <c r="I20" s="140" t="s">
        <v>328</v>
      </c>
      <c r="J20" s="123" t="s">
        <v>329</v>
      </c>
      <c r="K20" s="140" t="s">
        <v>330</v>
      </c>
      <c r="L20" s="123" t="s">
        <v>331</v>
      </c>
      <c r="M20" s="140" t="s">
        <v>332</v>
      </c>
      <c r="N20" s="123" t="s">
        <v>333</v>
      </c>
      <c r="O20" s="140" t="s">
        <v>334</v>
      </c>
      <c r="P20" s="123" t="s">
        <v>335</v>
      </c>
      <c r="Q20" s="140" t="s">
        <v>336</v>
      </c>
      <c r="R20" s="123" t="s">
        <v>337</v>
      </c>
      <c r="S20" s="140" t="s">
        <v>338</v>
      </c>
      <c r="T20" s="123" t="s">
        <v>339</v>
      </c>
      <c r="U20" s="140" t="s">
        <v>340</v>
      </c>
      <c r="V20" s="123" t="s">
        <v>341</v>
      </c>
      <c r="W20" s="140" t="s">
        <v>342</v>
      </c>
      <c r="X20" s="123" t="s">
        <v>343</v>
      </c>
      <c r="Y20" s="140" t="s">
        <v>344</v>
      </c>
      <c r="Z20" s="123" t="s">
        <v>345</v>
      </c>
      <c r="AA20" s="140" t="s">
        <v>346</v>
      </c>
      <c r="AB20" s="123" t="s">
        <v>347</v>
      </c>
    </row>
    <row r="21" ht="15" customHeight="1" spans="1:28">
      <c r="A21" s="117" t="s">
        <v>363</v>
      </c>
      <c r="B21" s="122" t="s">
        <v>86</v>
      </c>
      <c r="C21" s="151"/>
      <c r="D21" s="131">
        <f>IF($C$19="是",IF(基本参数!$B$8+COLUMN()-3&lt;=2030,15,25),25)*0</f>
        <v>0</v>
      </c>
      <c r="E21" s="131">
        <f>IF($C$19="是",IF(基本参数!$B$8+COLUMN()-3&lt;=2030,15,25),25)*0</f>
        <v>0</v>
      </c>
      <c r="F21" s="131">
        <f>IF($C$19="是",IF(基本参数!$B$8+COLUMN()-3&lt;=2030,15,25),25)*0</f>
        <v>0</v>
      </c>
      <c r="G21" s="146">
        <f>IF($C$19="是",IF(基本参数!$B$8+COLUMN()-3&lt;=2030,15,25),25)*0.5</f>
        <v>12.5</v>
      </c>
      <c r="H21" s="146">
        <f>IF($C$19="是",IF(基本参数!$B$8+COLUMN()-3&lt;=2030,15,25),25)*0.5</f>
        <v>12.5</v>
      </c>
      <c r="I21" s="146">
        <f>IF($C$19="是",IF(基本参数!$B$8+COLUMN()-3&lt;=2030,15,25),25)*0.5</f>
        <v>12.5</v>
      </c>
      <c r="J21" s="131">
        <f>IF($C$19="是",IF(基本参数!$B$8+COLUMN()-3&lt;=2030,15,25),25)</f>
        <v>25</v>
      </c>
      <c r="K21" s="131">
        <f>IF($C$19="是",IF(基本参数!$B$8+COLUMN()-3&lt;=2030,15,25),25)</f>
        <v>25</v>
      </c>
      <c r="L21" s="131">
        <f>IF($C$19="是",IF(基本参数!$B$8+COLUMN()-3&lt;=2030,15,25),25)</f>
        <v>25</v>
      </c>
      <c r="M21" s="131">
        <f>IF($C$19="是",IF(基本参数!$B$8+COLUMN()-3&lt;=2030,15,25),25)</f>
        <v>25</v>
      </c>
      <c r="N21" s="131">
        <f>IF($C$19="是",IF(基本参数!$B$8+COLUMN()-3&lt;=2030,15,25),25)</f>
        <v>25</v>
      </c>
      <c r="O21" s="131">
        <f>IF($C$19="是",IF(基本参数!$B$8+COLUMN()-3&lt;=2030,15,25),25)</f>
        <v>25</v>
      </c>
      <c r="P21" s="131">
        <f>IF($C$19="是",IF(基本参数!$B$8+COLUMN()-3&lt;=2030,15,25),25)</f>
        <v>25</v>
      </c>
      <c r="Q21" s="131">
        <f>IF($C$19="是",IF(基本参数!$B$8+COLUMN()-3&lt;=2030,15,25),25)</f>
        <v>25</v>
      </c>
      <c r="R21" s="131">
        <f>IF($C$19="是",IF(基本参数!$B$8+COLUMN()-3&lt;=2030,15,25),25)</f>
        <v>25</v>
      </c>
      <c r="S21" s="131">
        <f>IF($C$19="是",IF(基本参数!$B$8+COLUMN()-3&lt;=2030,15,25),25)</f>
        <v>25</v>
      </c>
      <c r="T21" s="131">
        <f>IF($C$19="是",IF(基本参数!$B$8+COLUMN()-3&lt;=2030,15,25),25)</f>
        <v>25</v>
      </c>
      <c r="U21" s="131">
        <f>IF($C$19="是",IF(基本参数!$B$8+COLUMN()-3&lt;=2030,15,25),25)</f>
        <v>25</v>
      </c>
      <c r="V21" s="131">
        <f>IF($C$19="是",IF(基本参数!$B$8+COLUMN()-3&lt;=2030,15,25),25)</f>
        <v>25</v>
      </c>
      <c r="W21" s="131">
        <f>IF($C$19="是",IF(基本参数!$B$8+COLUMN()-3&lt;=2030,15,25),25)</f>
        <v>25</v>
      </c>
      <c r="X21" s="131">
        <f>IF($C$19="是",IF(基本参数!$B$8+COLUMN()-3&lt;=2030,15,25),25)</f>
        <v>25</v>
      </c>
      <c r="Y21" s="131">
        <f>IF($C$19="是",IF(基本参数!$B$8+COLUMN()-3&lt;=2030,15,25),25)</f>
        <v>25</v>
      </c>
      <c r="Z21" s="131">
        <f>IF($C$19="是",IF(基本参数!$B$8+COLUMN()-3&lt;=2030,15,25),25)</f>
        <v>25</v>
      </c>
      <c r="AA21" s="131">
        <f>IF($C$19="是",IF(基本参数!$B$8+COLUMN()-3&lt;=2030,15,25),25)</f>
        <v>25</v>
      </c>
      <c r="AB21" s="131">
        <f>IF($C$19="是",IF(基本参数!$B$8+COLUMN()-3&lt;=2030,15,25),25)</f>
        <v>25</v>
      </c>
    </row>
    <row r="22" ht="15" customHeight="1" spans="1:28">
      <c r="A22" s="117" t="s">
        <v>305</v>
      </c>
      <c r="B22" s="122" t="s">
        <v>86</v>
      </c>
      <c r="C22" s="152"/>
      <c r="D22" s="70">
        <v>0</v>
      </c>
      <c r="E22" s="70">
        <v>0</v>
      </c>
      <c r="F22" s="70">
        <v>0</v>
      </c>
      <c r="G22" s="51">
        <v>12.5</v>
      </c>
      <c r="H22" s="51">
        <v>12.5</v>
      </c>
      <c r="I22" s="51">
        <v>12.5</v>
      </c>
      <c r="J22" s="70">
        <v>25</v>
      </c>
      <c r="K22" s="70">
        <v>25</v>
      </c>
      <c r="L22" s="70">
        <v>25</v>
      </c>
      <c r="M22" s="70">
        <v>25</v>
      </c>
      <c r="N22" s="70">
        <v>25</v>
      </c>
      <c r="O22" s="70">
        <v>25</v>
      </c>
      <c r="P22" s="70">
        <v>25</v>
      </c>
      <c r="Q22" s="70">
        <v>25</v>
      </c>
      <c r="R22" s="70">
        <v>25</v>
      </c>
      <c r="S22" s="70">
        <v>25</v>
      </c>
      <c r="T22" s="70">
        <v>25</v>
      </c>
      <c r="U22" s="70">
        <v>25</v>
      </c>
      <c r="V22" s="70">
        <v>25</v>
      </c>
      <c r="W22" s="70">
        <v>25</v>
      </c>
      <c r="X22" s="70">
        <v>25</v>
      </c>
      <c r="Y22" s="70">
        <v>25</v>
      </c>
      <c r="Z22" s="70">
        <v>25</v>
      </c>
      <c r="AA22" s="70">
        <v>25</v>
      </c>
      <c r="AB22" s="70">
        <v>25</v>
      </c>
    </row>
    <row r="23" ht="15" customHeight="1" spans="1:28">
      <c r="A23" s="117" t="s">
        <v>416</v>
      </c>
      <c r="B23" s="122" t="s">
        <v>86</v>
      </c>
      <c r="C23" s="149"/>
      <c r="D23" s="147">
        <f t="shared" ref="D23:AB23" si="2">IF($C$18="自动计算",D21,D22)</f>
        <v>0</v>
      </c>
      <c r="E23" s="147">
        <f t="shared" si="2"/>
        <v>0</v>
      </c>
      <c r="F23" s="147">
        <f t="shared" si="2"/>
        <v>0</v>
      </c>
      <c r="G23" s="148">
        <f t="shared" si="2"/>
        <v>12.5</v>
      </c>
      <c r="H23" s="148">
        <f t="shared" si="2"/>
        <v>12.5</v>
      </c>
      <c r="I23" s="148">
        <f t="shared" si="2"/>
        <v>12.5</v>
      </c>
      <c r="J23" s="147">
        <f t="shared" si="2"/>
        <v>25</v>
      </c>
      <c r="K23" s="147">
        <f t="shared" si="2"/>
        <v>25</v>
      </c>
      <c r="L23" s="147">
        <f t="shared" si="2"/>
        <v>25</v>
      </c>
      <c r="M23" s="147">
        <f t="shared" si="2"/>
        <v>25</v>
      </c>
      <c r="N23" s="147">
        <f t="shared" si="2"/>
        <v>25</v>
      </c>
      <c r="O23" s="147">
        <f t="shared" si="2"/>
        <v>25</v>
      </c>
      <c r="P23" s="147">
        <f t="shared" si="2"/>
        <v>25</v>
      </c>
      <c r="Q23" s="147">
        <f t="shared" si="2"/>
        <v>25</v>
      </c>
      <c r="R23" s="147">
        <f t="shared" si="2"/>
        <v>25</v>
      </c>
      <c r="S23" s="147">
        <f t="shared" si="2"/>
        <v>25</v>
      </c>
      <c r="T23" s="147">
        <f t="shared" si="2"/>
        <v>25</v>
      </c>
      <c r="U23" s="147">
        <f t="shared" si="2"/>
        <v>25</v>
      </c>
      <c r="V23" s="147">
        <f t="shared" si="2"/>
        <v>25</v>
      </c>
      <c r="W23" s="147">
        <f t="shared" si="2"/>
        <v>25</v>
      </c>
      <c r="X23" s="147">
        <f t="shared" si="2"/>
        <v>25</v>
      </c>
      <c r="Y23" s="147">
        <f t="shared" si="2"/>
        <v>25</v>
      </c>
      <c r="Z23" s="147">
        <f t="shared" si="2"/>
        <v>25</v>
      </c>
      <c r="AA23" s="147">
        <f t="shared" si="2"/>
        <v>25</v>
      </c>
      <c r="AB23" s="147">
        <f t="shared" si="2"/>
        <v>25</v>
      </c>
    </row>
    <row r="24" ht="15" customHeight="1" spans="1:28">
      <c r="A24" s="114" t="s">
        <v>420</v>
      </c>
      <c r="B24" s="114"/>
      <c r="C24" s="132"/>
      <c r="D24" s="135"/>
      <c r="E24" s="134"/>
      <c r="F24" s="135"/>
      <c r="G24" s="134"/>
      <c r="H24" s="135"/>
      <c r="I24" s="134"/>
      <c r="J24" s="135"/>
      <c r="K24" s="134"/>
      <c r="L24" s="135"/>
      <c r="M24" s="134"/>
      <c r="N24" s="135"/>
      <c r="O24" s="134"/>
      <c r="P24" s="135"/>
      <c r="Q24" s="134"/>
      <c r="R24" s="135"/>
      <c r="S24" s="134"/>
      <c r="T24" s="135"/>
      <c r="U24" s="134"/>
      <c r="V24" s="135"/>
      <c r="W24" s="134"/>
      <c r="X24" s="135"/>
      <c r="Y24" s="134"/>
      <c r="Z24" s="135"/>
      <c r="AA24" s="134"/>
      <c r="AB24" s="135"/>
    </row>
    <row r="25" ht="15" customHeight="1" spans="1:28">
      <c r="A25" s="117"/>
      <c r="B25" s="122" t="s">
        <v>277</v>
      </c>
      <c r="C25" s="139" t="s">
        <v>278</v>
      </c>
      <c r="D25" s="123" t="s">
        <v>279</v>
      </c>
      <c r="E25" s="140" t="s">
        <v>280</v>
      </c>
      <c r="F25" s="123" t="s">
        <v>281</v>
      </c>
      <c r="G25" s="140" t="s">
        <v>282</v>
      </c>
      <c r="H25" s="123" t="s">
        <v>327</v>
      </c>
      <c r="I25" s="140" t="s">
        <v>328</v>
      </c>
      <c r="J25" s="123" t="s">
        <v>329</v>
      </c>
      <c r="K25" s="140" t="s">
        <v>330</v>
      </c>
      <c r="L25" s="123" t="s">
        <v>331</v>
      </c>
      <c r="M25" s="140" t="s">
        <v>332</v>
      </c>
      <c r="N25" s="123" t="s">
        <v>333</v>
      </c>
      <c r="O25" s="140" t="s">
        <v>334</v>
      </c>
      <c r="P25" s="123" t="s">
        <v>335</v>
      </c>
      <c r="Q25" s="140" t="s">
        <v>336</v>
      </c>
      <c r="R25" s="123" t="s">
        <v>337</v>
      </c>
      <c r="S25" s="140" t="s">
        <v>338</v>
      </c>
      <c r="T25" s="123" t="s">
        <v>339</v>
      </c>
      <c r="U25" s="140" t="s">
        <v>340</v>
      </c>
      <c r="V25" s="123" t="s">
        <v>341</v>
      </c>
      <c r="W25" s="140" t="s">
        <v>342</v>
      </c>
      <c r="X25" s="123" t="s">
        <v>343</v>
      </c>
      <c r="Y25" s="140" t="s">
        <v>344</v>
      </c>
      <c r="Z25" s="123" t="s">
        <v>345</v>
      </c>
      <c r="AA25" s="140" t="s">
        <v>346</v>
      </c>
      <c r="AB25" s="123" t="s">
        <v>347</v>
      </c>
    </row>
    <row r="26" ht="15" customHeight="1" spans="1:28">
      <c r="A26" s="117" t="s">
        <v>416</v>
      </c>
      <c r="B26" s="122" t="s">
        <v>86</v>
      </c>
      <c r="C26" s="128"/>
      <c r="D26" s="150">
        <v>5</v>
      </c>
      <c r="E26" s="150">
        <f t="shared" ref="E26:AB26" si="3">D26</f>
        <v>5</v>
      </c>
      <c r="F26" s="150">
        <f t="shared" si="3"/>
        <v>5</v>
      </c>
      <c r="G26" s="150">
        <f t="shared" si="3"/>
        <v>5</v>
      </c>
      <c r="H26" s="150">
        <f t="shared" si="3"/>
        <v>5</v>
      </c>
      <c r="I26" s="150">
        <f t="shared" si="3"/>
        <v>5</v>
      </c>
      <c r="J26" s="150">
        <f t="shared" si="3"/>
        <v>5</v>
      </c>
      <c r="K26" s="150">
        <f t="shared" si="3"/>
        <v>5</v>
      </c>
      <c r="L26" s="150">
        <f t="shared" si="3"/>
        <v>5</v>
      </c>
      <c r="M26" s="150">
        <f t="shared" si="3"/>
        <v>5</v>
      </c>
      <c r="N26" s="150">
        <f t="shared" si="3"/>
        <v>5</v>
      </c>
      <c r="O26" s="150">
        <f t="shared" si="3"/>
        <v>5</v>
      </c>
      <c r="P26" s="150">
        <f t="shared" si="3"/>
        <v>5</v>
      </c>
      <c r="Q26" s="150">
        <f t="shared" si="3"/>
        <v>5</v>
      </c>
      <c r="R26" s="150">
        <f t="shared" si="3"/>
        <v>5</v>
      </c>
      <c r="S26" s="150">
        <f t="shared" si="3"/>
        <v>5</v>
      </c>
      <c r="T26" s="150">
        <f t="shared" si="3"/>
        <v>5</v>
      </c>
      <c r="U26" s="150">
        <f t="shared" si="3"/>
        <v>5</v>
      </c>
      <c r="V26" s="150">
        <f t="shared" si="3"/>
        <v>5</v>
      </c>
      <c r="W26" s="150">
        <f t="shared" si="3"/>
        <v>5</v>
      </c>
      <c r="X26" s="150">
        <f t="shared" si="3"/>
        <v>5</v>
      </c>
      <c r="Y26" s="150">
        <f t="shared" si="3"/>
        <v>5</v>
      </c>
      <c r="Z26" s="150">
        <f t="shared" si="3"/>
        <v>5</v>
      </c>
      <c r="AA26" s="150">
        <f t="shared" si="3"/>
        <v>5</v>
      </c>
      <c r="AB26" s="150">
        <f t="shared" si="3"/>
        <v>5</v>
      </c>
    </row>
    <row r="27" ht="15" customHeight="1" spans="1:28">
      <c r="A27" s="114" t="s">
        <v>421</v>
      </c>
      <c r="B27" s="114"/>
      <c r="C27" s="132"/>
      <c r="D27" s="135"/>
      <c r="E27" s="134"/>
      <c r="F27" s="135"/>
      <c r="G27" s="134"/>
      <c r="H27" s="135"/>
      <c r="I27" s="134"/>
      <c r="J27" s="135"/>
      <c r="K27" s="134"/>
      <c r="L27" s="135"/>
      <c r="M27" s="134"/>
      <c r="N27" s="135"/>
      <c r="O27" s="134"/>
      <c r="P27" s="135"/>
      <c r="Q27" s="134"/>
      <c r="R27" s="135"/>
      <c r="S27" s="134"/>
      <c r="T27" s="135"/>
      <c r="U27" s="134"/>
      <c r="V27" s="135"/>
      <c r="W27" s="134"/>
      <c r="X27" s="135"/>
      <c r="Y27" s="134"/>
      <c r="Z27" s="135"/>
      <c r="AA27" s="134"/>
      <c r="AB27" s="135"/>
    </row>
    <row r="28" ht="15" customHeight="1" spans="1:28">
      <c r="A28" s="117"/>
      <c r="B28" s="122" t="s">
        <v>277</v>
      </c>
      <c r="C28" s="139" t="s">
        <v>278</v>
      </c>
      <c r="D28" s="123" t="s">
        <v>279</v>
      </c>
      <c r="E28" s="140" t="s">
        <v>280</v>
      </c>
      <c r="F28" s="123" t="s">
        <v>281</v>
      </c>
      <c r="G28" s="140" t="s">
        <v>282</v>
      </c>
      <c r="H28" s="123" t="s">
        <v>327</v>
      </c>
      <c r="I28" s="140" t="s">
        <v>328</v>
      </c>
      <c r="J28" s="123" t="s">
        <v>329</v>
      </c>
      <c r="K28" s="140" t="s">
        <v>330</v>
      </c>
      <c r="L28" s="123" t="s">
        <v>331</v>
      </c>
      <c r="M28" s="140" t="s">
        <v>332</v>
      </c>
      <c r="N28" s="123" t="s">
        <v>333</v>
      </c>
      <c r="O28" s="140" t="s">
        <v>334</v>
      </c>
      <c r="P28" s="123" t="s">
        <v>335</v>
      </c>
      <c r="Q28" s="140" t="s">
        <v>336</v>
      </c>
      <c r="R28" s="123" t="s">
        <v>337</v>
      </c>
      <c r="S28" s="140" t="s">
        <v>338</v>
      </c>
      <c r="T28" s="123" t="s">
        <v>339</v>
      </c>
      <c r="U28" s="140" t="s">
        <v>340</v>
      </c>
      <c r="V28" s="123" t="s">
        <v>341</v>
      </c>
      <c r="W28" s="140" t="s">
        <v>342</v>
      </c>
      <c r="X28" s="123" t="s">
        <v>343</v>
      </c>
      <c r="Y28" s="140" t="s">
        <v>344</v>
      </c>
      <c r="Z28" s="123" t="s">
        <v>345</v>
      </c>
      <c r="AA28" s="140" t="s">
        <v>346</v>
      </c>
      <c r="AB28" s="123" t="s">
        <v>347</v>
      </c>
    </row>
    <row r="29" ht="15" customHeight="1" spans="1:28">
      <c r="A29" s="117" t="s">
        <v>416</v>
      </c>
      <c r="B29" s="122" t="s">
        <v>86</v>
      </c>
      <c r="C29" s="128"/>
      <c r="D29" s="150">
        <v>5</v>
      </c>
      <c r="E29" s="150">
        <f t="shared" ref="E29:AB29" si="4">D29</f>
        <v>5</v>
      </c>
      <c r="F29" s="150">
        <f t="shared" si="4"/>
        <v>5</v>
      </c>
      <c r="G29" s="150">
        <f t="shared" si="4"/>
        <v>5</v>
      </c>
      <c r="H29" s="150">
        <f t="shared" si="4"/>
        <v>5</v>
      </c>
      <c r="I29" s="150">
        <f t="shared" si="4"/>
        <v>5</v>
      </c>
      <c r="J29" s="150">
        <f t="shared" si="4"/>
        <v>5</v>
      </c>
      <c r="K29" s="150">
        <f t="shared" si="4"/>
        <v>5</v>
      </c>
      <c r="L29" s="150">
        <f t="shared" si="4"/>
        <v>5</v>
      </c>
      <c r="M29" s="150">
        <f t="shared" si="4"/>
        <v>5</v>
      </c>
      <c r="N29" s="150">
        <f t="shared" si="4"/>
        <v>5</v>
      </c>
      <c r="O29" s="150">
        <f t="shared" si="4"/>
        <v>5</v>
      </c>
      <c r="P29" s="150">
        <f t="shared" si="4"/>
        <v>5</v>
      </c>
      <c r="Q29" s="150">
        <f t="shared" si="4"/>
        <v>5</v>
      </c>
      <c r="R29" s="150">
        <f t="shared" si="4"/>
        <v>5</v>
      </c>
      <c r="S29" s="150">
        <f t="shared" si="4"/>
        <v>5</v>
      </c>
      <c r="T29" s="150">
        <f t="shared" si="4"/>
        <v>5</v>
      </c>
      <c r="U29" s="150">
        <f t="shared" si="4"/>
        <v>5</v>
      </c>
      <c r="V29" s="150">
        <f t="shared" si="4"/>
        <v>5</v>
      </c>
      <c r="W29" s="150">
        <f t="shared" si="4"/>
        <v>5</v>
      </c>
      <c r="X29" s="150">
        <f t="shared" si="4"/>
        <v>5</v>
      </c>
      <c r="Y29" s="150">
        <f t="shared" si="4"/>
        <v>5</v>
      </c>
      <c r="Z29" s="150">
        <f t="shared" si="4"/>
        <v>5</v>
      </c>
      <c r="AA29" s="150">
        <f t="shared" si="4"/>
        <v>5</v>
      </c>
      <c r="AB29" s="150">
        <f t="shared" si="4"/>
        <v>5</v>
      </c>
    </row>
    <row r="30" ht="15" customHeight="1" spans="1:28">
      <c r="A30" s="114" t="s">
        <v>422</v>
      </c>
      <c r="B30" s="114"/>
      <c r="C30" s="132"/>
      <c r="D30" s="135"/>
      <c r="E30" s="134"/>
      <c r="F30" s="135"/>
      <c r="G30" s="134"/>
      <c r="H30" s="135"/>
      <c r="I30" s="134"/>
      <c r="J30" s="135"/>
      <c r="K30" s="134"/>
      <c r="L30" s="135"/>
      <c r="M30" s="134"/>
      <c r="N30" s="135"/>
      <c r="O30" s="134"/>
      <c r="P30" s="135"/>
      <c r="Q30" s="134"/>
      <c r="R30" s="135"/>
      <c r="S30" s="134"/>
      <c r="T30" s="135"/>
      <c r="U30" s="134"/>
      <c r="V30" s="135"/>
      <c r="W30" s="134"/>
      <c r="X30" s="135"/>
      <c r="Y30" s="134"/>
      <c r="Z30" s="135"/>
      <c r="AA30" s="134"/>
      <c r="AB30" s="135"/>
    </row>
    <row r="31" ht="15" customHeight="1" spans="1:28">
      <c r="A31" s="117"/>
      <c r="B31" s="122" t="s">
        <v>277</v>
      </c>
      <c r="C31" s="139" t="s">
        <v>278</v>
      </c>
      <c r="D31" s="123" t="s">
        <v>279</v>
      </c>
      <c r="E31" s="140" t="s">
        <v>280</v>
      </c>
      <c r="F31" s="123" t="s">
        <v>281</v>
      </c>
      <c r="G31" s="140" t="s">
        <v>282</v>
      </c>
      <c r="H31" s="123" t="s">
        <v>327</v>
      </c>
      <c r="I31" s="140" t="s">
        <v>328</v>
      </c>
      <c r="J31" s="123" t="s">
        <v>329</v>
      </c>
      <c r="K31" s="140" t="s">
        <v>330</v>
      </c>
      <c r="L31" s="123" t="s">
        <v>331</v>
      </c>
      <c r="M31" s="140" t="s">
        <v>332</v>
      </c>
      <c r="N31" s="123" t="s">
        <v>333</v>
      </c>
      <c r="O31" s="140" t="s">
        <v>334</v>
      </c>
      <c r="P31" s="123" t="s">
        <v>335</v>
      </c>
      <c r="Q31" s="140" t="s">
        <v>336</v>
      </c>
      <c r="R31" s="123" t="s">
        <v>337</v>
      </c>
      <c r="S31" s="140" t="s">
        <v>338</v>
      </c>
      <c r="T31" s="123" t="s">
        <v>339</v>
      </c>
      <c r="U31" s="140" t="s">
        <v>340</v>
      </c>
      <c r="V31" s="123" t="s">
        <v>341</v>
      </c>
      <c r="W31" s="140" t="s">
        <v>342</v>
      </c>
      <c r="X31" s="123" t="s">
        <v>343</v>
      </c>
      <c r="Y31" s="140" t="s">
        <v>344</v>
      </c>
      <c r="Z31" s="123" t="s">
        <v>345</v>
      </c>
      <c r="AA31" s="140" t="s">
        <v>346</v>
      </c>
      <c r="AB31" s="123" t="s">
        <v>347</v>
      </c>
    </row>
    <row r="32" ht="15" customHeight="1" spans="1:28">
      <c r="A32" s="117" t="s">
        <v>423</v>
      </c>
      <c r="B32" s="122" t="s">
        <v>86</v>
      </c>
      <c r="C32" s="128"/>
      <c r="D32" s="150">
        <v>10</v>
      </c>
      <c r="E32" s="150">
        <f t="shared" ref="E32:AB32" si="5">D32</f>
        <v>10</v>
      </c>
      <c r="F32" s="150">
        <f t="shared" si="5"/>
        <v>10</v>
      </c>
      <c r="G32" s="150">
        <f t="shared" si="5"/>
        <v>10</v>
      </c>
      <c r="H32" s="150">
        <f t="shared" si="5"/>
        <v>10</v>
      </c>
      <c r="I32" s="150">
        <f t="shared" si="5"/>
        <v>10</v>
      </c>
      <c r="J32" s="150">
        <f t="shared" si="5"/>
        <v>10</v>
      </c>
      <c r="K32" s="150">
        <f t="shared" si="5"/>
        <v>10</v>
      </c>
      <c r="L32" s="150">
        <f t="shared" si="5"/>
        <v>10</v>
      </c>
      <c r="M32" s="150">
        <f t="shared" si="5"/>
        <v>10</v>
      </c>
      <c r="N32" s="150">
        <f t="shared" si="5"/>
        <v>10</v>
      </c>
      <c r="O32" s="150">
        <f t="shared" si="5"/>
        <v>10</v>
      </c>
      <c r="P32" s="150">
        <f t="shared" si="5"/>
        <v>10</v>
      </c>
      <c r="Q32" s="150">
        <f t="shared" si="5"/>
        <v>10</v>
      </c>
      <c r="R32" s="150">
        <f t="shared" si="5"/>
        <v>10</v>
      </c>
      <c r="S32" s="150">
        <f t="shared" si="5"/>
        <v>10</v>
      </c>
      <c r="T32" s="150">
        <f t="shared" si="5"/>
        <v>10</v>
      </c>
      <c r="U32" s="150">
        <f t="shared" si="5"/>
        <v>10</v>
      </c>
      <c r="V32" s="150">
        <f t="shared" si="5"/>
        <v>10</v>
      </c>
      <c r="W32" s="150">
        <f t="shared" si="5"/>
        <v>10</v>
      </c>
      <c r="X32" s="150">
        <f t="shared" si="5"/>
        <v>10</v>
      </c>
      <c r="Y32" s="150">
        <f t="shared" si="5"/>
        <v>10</v>
      </c>
      <c r="Z32" s="150">
        <f t="shared" si="5"/>
        <v>10</v>
      </c>
      <c r="AA32" s="150">
        <f t="shared" si="5"/>
        <v>10</v>
      </c>
      <c r="AB32" s="150">
        <f t="shared" si="5"/>
        <v>10</v>
      </c>
    </row>
    <row r="33" ht="15" customHeight="1" spans="1:28">
      <c r="A33" s="114" t="s">
        <v>424</v>
      </c>
      <c r="B33" s="114"/>
      <c r="C33" s="132"/>
      <c r="D33" s="135"/>
      <c r="E33" s="134"/>
      <c r="F33" s="135"/>
      <c r="G33" s="134"/>
      <c r="H33" s="135"/>
      <c r="I33" s="134"/>
      <c r="J33" s="135"/>
      <c r="K33" s="134"/>
      <c r="L33" s="135"/>
      <c r="M33" s="134"/>
      <c r="N33" s="135"/>
      <c r="O33" s="134"/>
      <c r="P33" s="135"/>
      <c r="Q33" s="134"/>
      <c r="R33" s="135"/>
      <c r="S33" s="134"/>
      <c r="T33" s="135"/>
      <c r="U33" s="134"/>
      <c r="V33" s="135"/>
      <c r="W33" s="134"/>
      <c r="X33" s="135"/>
      <c r="Y33" s="134"/>
      <c r="Z33" s="135"/>
      <c r="AA33" s="134"/>
      <c r="AB33" s="135"/>
    </row>
    <row r="34" ht="15" customHeight="1" spans="1:28">
      <c r="A34" s="117"/>
      <c r="B34" s="122" t="s">
        <v>277</v>
      </c>
      <c r="C34" s="139" t="s">
        <v>278</v>
      </c>
      <c r="D34" s="123" t="s">
        <v>279</v>
      </c>
      <c r="E34" s="140" t="s">
        <v>280</v>
      </c>
      <c r="F34" s="123" t="s">
        <v>281</v>
      </c>
      <c r="G34" s="140" t="s">
        <v>282</v>
      </c>
      <c r="H34" s="123" t="s">
        <v>327</v>
      </c>
      <c r="I34" s="140" t="s">
        <v>328</v>
      </c>
      <c r="J34" s="123" t="s">
        <v>329</v>
      </c>
      <c r="K34" s="140" t="s">
        <v>330</v>
      </c>
      <c r="L34" s="123" t="s">
        <v>331</v>
      </c>
      <c r="M34" s="140" t="s">
        <v>332</v>
      </c>
      <c r="N34" s="123" t="s">
        <v>333</v>
      </c>
      <c r="O34" s="140" t="s">
        <v>334</v>
      </c>
      <c r="P34" s="123" t="s">
        <v>335</v>
      </c>
      <c r="Q34" s="140" t="s">
        <v>336</v>
      </c>
      <c r="R34" s="123" t="s">
        <v>337</v>
      </c>
      <c r="S34" s="140" t="s">
        <v>338</v>
      </c>
      <c r="T34" s="123" t="s">
        <v>339</v>
      </c>
      <c r="U34" s="140" t="s">
        <v>340</v>
      </c>
      <c r="V34" s="123" t="s">
        <v>341</v>
      </c>
      <c r="W34" s="140" t="s">
        <v>342</v>
      </c>
      <c r="X34" s="123" t="s">
        <v>343</v>
      </c>
      <c r="Y34" s="140" t="s">
        <v>344</v>
      </c>
      <c r="Z34" s="123" t="s">
        <v>345</v>
      </c>
      <c r="AA34" s="140" t="s">
        <v>346</v>
      </c>
      <c r="AB34" s="123" t="s">
        <v>347</v>
      </c>
    </row>
    <row r="35" ht="15" customHeight="1" spans="1:28">
      <c r="A35" s="117" t="s">
        <v>423</v>
      </c>
      <c r="B35" s="122" t="s">
        <v>86</v>
      </c>
      <c r="C35" s="128"/>
      <c r="D35" s="150">
        <v>0</v>
      </c>
      <c r="E35" s="150">
        <f t="shared" ref="E35:AB35" si="6">D35</f>
        <v>0</v>
      </c>
      <c r="F35" s="150">
        <f t="shared" si="6"/>
        <v>0</v>
      </c>
      <c r="G35" s="150">
        <f t="shared" si="6"/>
        <v>0</v>
      </c>
      <c r="H35" s="150">
        <f t="shared" si="6"/>
        <v>0</v>
      </c>
      <c r="I35" s="150">
        <f t="shared" si="6"/>
        <v>0</v>
      </c>
      <c r="J35" s="150">
        <f t="shared" si="6"/>
        <v>0</v>
      </c>
      <c r="K35" s="150">
        <f t="shared" si="6"/>
        <v>0</v>
      </c>
      <c r="L35" s="150">
        <f t="shared" si="6"/>
        <v>0</v>
      </c>
      <c r="M35" s="150">
        <f t="shared" si="6"/>
        <v>0</v>
      </c>
      <c r="N35" s="150">
        <f t="shared" si="6"/>
        <v>0</v>
      </c>
      <c r="O35" s="150">
        <f t="shared" si="6"/>
        <v>0</v>
      </c>
      <c r="P35" s="150">
        <f t="shared" si="6"/>
        <v>0</v>
      </c>
      <c r="Q35" s="150">
        <f t="shared" si="6"/>
        <v>0</v>
      </c>
      <c r="R35" s="150">
        <f t="shared" si="6"/>
        <v>0</v>
      </c>
      <c r="S35" s="150">
        <f t="shared" si="6"/>
        <v>0</v>
      </c>
      <c r="T35" s="150">
        <f t="shared" si="6"/>
        <v>0</v>
      </c>
      <c r="U35" s="150">
        <f t="shared" si="6"/>
        <v>0</v>
      </c>
      <c r="V35" s="150">
        <f t="shared" si="6"/>
        <v>0</v>
      </c>
      <c r="W35" s="150">
        <f t="shared" si="6"/>
        <v>0</v>
      </c>
      <c r="X35" s="150">
        <f t="shared" si="6"/>
        <v>0</v>
      </c>
      <c r="Y35" s="150">
        <f t="shared" si="6"/>
        <v>0</v>
      </c>
      <c r="Z35" s="150">
        <f t="shared" si="6"/>
        <v>0</v>
      </c>
      <c r="AA35" s="150">
        <f t="shared" si="6"/>
        <v>0</v>
      </c>
      <c r="AB35" s="150">
        <f t="shared" si="6"/>
        <v>0</v>
      </c>
    </row>
    <row r="36" ht="15" customHeight="1" spans="1:28">
      <c r="A36" s="114" t="s">
        <v>425</v>
      </c>
      <c r="B36" s="114"/>
      <c r="C36" s="132"/>
      <c r="D36" s="135"/>
      <c r="E36" s="134"/>
      <c r="F36" s="135"/>
      <c r="G36" s="134"/>
      <c r="H36" s="135"/>
      <c r="I36" s="134"/>
      <c r="J36" s="135"/>
      <c r="K36" s="134"/>
      <c r="L36" s="135"/>
      <c r="M36" s="134"/>
      <c r="N36" s="135"/>
      <c r="O36" s="134"/>
      <c r="P36" s="135"/>
      <c r="Q36" s="134"/>
      <c r="R36" s="135"/>
      <c r="S36" s="134"/>
      <c r="T36" s="135"/>
      <c r="U36" s="134"/>
      <c r="V36" s="135"/>
      <c r="W36" s="134"/>
      <c r="X36" s="135"/>
      <c r="Y36" s="134"/>
      <c r="Z36" s="135"/>
      <c r="AA36" s="134"/>
      <c r="AB36" s="135"/>
    </row>
    <row r="37" ht="15" customHeight="1" spans="1:28">
      <c r="A37" s="117"/>
      <c r="B37" s="122" t="s">
        <v>277</v>
      </c>
      <c r="C37" s="139" t="s">
        <v>278</v>
      </c>
      <c r="D37" s="123" t="s">
        <v>279</v>
      </c>
      <c r="E37" s="140" t="s">
        <v>280</v>
      </c>
      <c r="F37" s="123" t="s">
        <v>281</v>
      </c>
      <c r="G37" s="140" t="s">
        <v>282</v>
      </c>
      <c r="H37" s="123" t="s">
        <v>327</v>
      </c>
      <c r="I37" s="140" t="s">
        <v>328</v>
      </c>
      <c r="J37" s="123" t="s">
        <v>329</v>
      </c>
      <c r="K37" s="140" t="s">
        <v>330</v>
      </c>
      <c r="L37" s="123" t="s">
        <v>331</v>
      </c>
      <c r="M37" s="140" t="s">
        <v>332</v>
      </c>
      <c r="N37" s="123" t="s">
        <v>333</v>
      </c>
      <c r="O37" s="140" t="s">
        <v>334</v>
      </c>
      <c r="P37" s="123" t="s">
        <v>335</v>
      </c>
      <c r="Q37" s="140" t="s">
        <v>336</v>
      </c>
      <c r="R37" s="123" t="s">
        <v>337</v>
      </c>
      <c r="S37" s="140" t="s">
        <v>338</v>
      </c>
      <c r="T37" s="123" t="s">
        <v>339</v>
      </c>
      <c r="U37" s="140" t="s">
        <v>340</v>
      </c>
      <c r="V37" s="123" t="s">
        <v>341</v>
      </c>
      <c r="W37" s="140" t="s">
        <v>342</v>
      </c>
      <c r="X37" s="123" t="s">
        <v>343</v>
      </c>
      <c r="Y37" s="140" t="s">
        <v>344</v>
      </c>
      <c r="Z37" s="123" t="s">
        <v>345</v>
      </c>
      <c r="AA37" s="140" t="s">
        <v>346</v>
      </c>
      <c r="AB37" s="123" t="s">
        <v>347</v>
      </c>
    </row>
    <row r="38" ht="15" customHeight="1" spans="1:28">
      <c r="A38" s="117" t="s">
        <v>426</v>
      </c>
      <c r="B38" s="122" t="s">
        <v>24</v>
      </c>
      <c r="C38" s="128"/>
      <c r="D38" s="128">
        <f>IF(基本参数!$B$16="是",IF(COLUMN()-2=基本参数!$B$3+1,SUM(基本参数!$B$15:$B$15),0),0)</f>
        <v>0</v>
      </c>
      <c r="E38" s="128">
        <f>IF(基本参数!$B$16="是",IF(COLUMN()-2=基本参数!$B$3+1,SUM(基本参数!$B$15:$B$15),0),0)</f>
        <v>0</v>
      </c>
      <c r="F38" s="128">
        <f>IF(基本参数!$B$16="是",IF(COLUMN()-2=基本参数!$B$3+1,SUM(基本参数!$B$15:$B$15),0),0)</f>
        <v>0</v>
      </c>
      <c r="G38" s="128">
        <f>IF(基本参数!$B$16="是",IF(COLUMN()-2=基本参数!$B$3+1,SUM(基本参数!$B$15:$B$15),0),0)</f>
        <v>0</v>
      </c>
      <c r="H38" s="128">
        <f>IF(基本参数!$B$16="是",IF(COLUMN()-2=基本参数!$B$3+1,SUM(基本参数!$B$15:$B$15),0),0)</f>
        <v>0</v>
      </c>
      <c r="I38" s="128">
        <f>IF(基本参数!$B$16="是",IF(COLUMN()-2=基本参数!$B$3+1,SUM(基本参数!$B$15:$B$15),0),0)</f>
        <v>0</v>
      </c>
      <c r="J38" s="128">
        <f>IF(基本参数!$B$16="是",IF(COLUMN()-2=基本参数!$B$3+1,SUM(基本参数!$B$15:$B$15),0),0)</f>
        <v>0</v>
      </c>
      <c r="K38" s="128">
        <f>IF(基本参数!$B$16="是",IF(COLUMN()-2=基本参数!$B$3+1,SUM(基本参数!$B$15:$B$15),0),0)</f>
        <v>0</v>
      </c>
      <c r="L38" s="128">
        <f>IF(基本参数!$B$16="是",IF(COLUMN()-2=基本参数!$B$3+1,SUM(基本参数!$B$15:$B$15),0),0)</f>
        <v>0</v>
      </c>
      <c r="M38" s="128">
        <f>IF(基本参数!$B$16="是",IF(COLUMN()-2=基本参数!$B$3+1,SUM(基本参数!$B$15:$B$15),0),0)</f>
        <v>0</v>
      </c>
      <c r="N38" s="128">
        <f>IF(基本参数!$B$16="是",IF(COLUMN()-2=基本参数!$B$3+1,SUM(基本参数!$B$15:$B$15),0),0)</f>
        <v>0</v>
      </c>
      <c r="O38" s="128">
        <f>IF(基本参数!$B$16="是",IF(COLUMN()-2=基本参数!$B$3+1,SUM(基本参数!$B$15:$B$15),0),0)</f>
        <v>0</v>
      </c>
      <c r="P38" s="128">
        <f>IF(基本参数!$B$16="是",IF(COLUMN()-2=基本参数!$B$3+1,SUM(基本参数!$B$15:$B$15),0),0)</f>
        <v>0</v>
      </c>
      <c r="Q38" s="128">
        <f>IF(基本参数!$B$16="是",IF(COLUMN()-2=基本参数!$B$3+1,SUM(基本参数!$B$15:$B$15),0),0)</f>
        <v>0</v>
      </c>
      <c r="R38" s="128">
        <f>IF(基本参数!$B$16="是",IF(COLUMN()-2=基本参数!$B$3+1,SUM(基本参数!$B$15:$B$15),0),0)</f>
        <v>0</v>
      </c>
      <c r="S38" s="128">
        <f>IF(基本参数!$B$16="是",IF(COLUMN()-2=基本参数!$B$3+1,SUM(基本参数!$B$15:$B$15),0),0)</f>
        <v>0</v>
      </c>
      <c r="T38" s="128">
        <f>IF(基本参数!$B$16="是",IF(COLUMN()-2=基本参数!$B$3+1,SUM(基本参数!$B$15:$B$15),0),0)</f>
        <v>0</v>
      </c>
      <c r="U38" s="128">
        <f>IF(基本参数!$B$16="是",IF(COLUMN()-2=基本参数!$B$3+1,SUM(基本参数!$B$15:$B$15),0),0)</f>
        <v>0</v>
      </c>
      <c r="V38" s="128">
        <f>IF(基本参数!$B$16="是",IF(COLUMN()-2=基本参数!$B$3+1,SUM(基本参数!$B$15:$B$15),0),0)</f>
        <v>0</v>
      </c>
      <c r="W38" s="128">
        <f>IF(基本参数!$B$16="是",IF(COLUMN()-2=基本参数!$B$3+1,SUM(基本参数!$B$15:$B$15),0),0)</f>
        <v>0</v>
      </c>
      <c r="X38" s="128">
        <f>IF(基本参数!$B$16="是",IF(COLUMN()-2=基本参数!$B$3+1,SUM(基本参数!$B$15:$B$15),0),0)</f>
        <v>0</v>
      </c>
      <c r="Y38" s="128">
        <f>IF(基本参数!$B$16="是",IF(COLUMN()-2=基本参数!$B$3+1,SUM(基本参数!$B$15:$B$15),0),0)</f>
        <v>0</v>
      </c>
      <c r="Z38" s="128">
        <f>IF(基本参数!$B$16="是",IF(COLUMN()-2=基本参数!$B$3+1,SUM(基本参数!$B$15:$B$15),0),0)</f>
        <v>0</v>
      </c>
      <c r="AA38" s="128">
        <f>IF(基本参数!$B$16="是",IF(COLUMN()-2=基本参数!$B$3+1,SUM(基本参数!$B$15:$B$15),0),0)</f>
        <v>0</v>
      </c>
      <c r="AB38" s="128">
        <f>IF(基本参数!$B$16="是",IF(COLUMN()-2=基本参数!$B$3+1,SUM(基本参数!$B$15:$B$15),0),0)</f>
        <v>0</v>
      </c>
    </row>
    <row r="39" ht="15" customHeight="1" spans="1:28">
      <c r="A39" s="117" t="s">
        <v>427</v>
      </c>
      <c r="B39" s="122" t="s">
        <v>86</v>
      </c>
      <c r="C39" s="128">
        <v>0</v>
      </c>
      <c r="D39" s="128"/>
      <c r="E39" s="124"/>
      <c r="F39" s="128"/>
      <c r="G39" s="124"/>
      <c r="H39" s="128"/>
      <c r="I39" s="124"/>
      <c r="J39" s="128"/>
      <c r="K39" s="124"/>
      <c r="L39" s="128"/>
      <c r="M39" s="124"/>
      <c r="N39" s="128"/>
      <c r="O39" s="124"/>
      <c r="P39" s="128"/>
      <c r="Q39" s="124"/>
      <c r="R39" s="128"/>
      <c r="S39" s="124"/>
      <c r="T39" s="128"/>
      <c r="U39" s="124"/>
      <c r="V39" s="128"/>
      <c r="W39" s="124"/>
      <c r="X39" s="128"/>
      <c r="Y39" s="124"/>
      <c r="Z39" s="128"/>
      <c r="AA39" s="124"/>
      <c r="AB39" s="128"/>
    </row>
    <row r="40" ht="15" customHeight="1" spans="1:28">
      <c r="A40" s="117" t="s">
        <v>428</v>
      </c>
      <c r="B40" s="122" t="s">
        <v>24</v>
      </c>
      <c r="C40" s="128"/>
      <c r="D40" s="70">
        <v>0</v>
      </c>
      <c r="E40" s="70">
        <f t="shared" ref="E40:AB40" si="7">D40</f>
        <v>0</v>
      </c>
      <c r="F40" s="70">
        <f t="shared" si="7"/>
        <v>0</v>
      </c>
      <c r="G40" s="70">
        <f t="shared" si="7"/>
        <v>0</v>
      </c>
      <c r="H40" s="70">
        <f t="shared" si="7"/>
        <v>0</v>
      </c>
      <c r="I40" s="70">
        <f t="shared" si="7"/>
        <v>0</v>
      </c>
      <c r="J40" s="70">
        <f t="shared" si="7"/>
        <v>0</v>
      </c>
      <c r="K40" s="70">
        <f t="shared" si="7"/>
        <v>0</v>
      </c>
      <c r="L40" s="70">
        <f t="shared" si="7"/>
        <v>0</v>
      </c>
      <c r="M40" s="70">
        <f t="shared" si="7"/>
        <v>0</v>
      </c>
      <c r="N40" s="70">
        <f t="shared" si="7"/>
        <v>0</v>
      </c>
      <c r="O40" s="70">
        <f t="shared" si="7"/>
        <v>0</v>
      </c>
      <c r="P40" s="70">
        <f t="shared" si="7"/>
        <v>0</v>
      </c>
      <c r="Q40" s="70">
        <f t="shared" si="7"/>
        <v>0</v>
      </c>
      <c r="R40" s="70">
        <f t="shared" si="7"/>
        <v>0</v>
      </c>
      <c r="S40" s="70">
        <f t="shared" si="7"/>
        <v>0</v>
      </c>
      <c r="T40" s="70">
        <f t="shared" si="7"/>
        <v>0</v>
      </c>
      <c r="U40" s="70">
        <f t="shared" si="7"/>
        <v>0</v>
      </c>
      <c r="V40" s="70">
        <f t="shared" si="7"/>
        <v>0</v>
      </c>
      <c r="W40" s="70">
        <f t="shared" si="7"/>
        <v>0</v>
      </c>
      <c r="X40" s="70">
        <f t="shared" si="7"/>
        <v>0</v>
      </c>
      <c r="Y40" s="70">
        <f t="shared" si="7"/>
        <v>0</v>
      </c>
      <c r="Z40" s="70">
        <f t="shared" si="7"/>
        <v>0</v>
      </c>
      <c r="AA40" s="70">
        <f t="shared" si="7"/>
        <v>0</v>
      </c>
      <c r="AB40" s="70">
        <f t="shared" si="7"/>
        <v>0</v>
      </c>
    </row>
    <row r="41" ht="15" customHeight="1" spans="1:28">
      <c r="A41" s="117" t="s">
        <v>429</v>
      </c>
      <c r="B41" s="122" t="s">
        <v>86</v>
      </c>
      <c r="C41" s="70">
        <v>13</v>
      </c>
      <c r="D41" s="128"/>
      <c r="E41" s="124"/>
      <c r="F41" s="128"/>
      <c r="G41" s="124"/>
      <c r="H41" s="128"/>
      <c r="I41" s="124"/>
      <c r="J41" s="128"/>
      <c r="K41" s="124"/>
      <c r="L41" s="128"/>
      <c r="M41" s="124"/>
      <c r="N41" s="128"/>
      <c r="O41" s="124"/>
      <c r="P41" s="128"/>
      <c r="Q41" s="124"/>
      <c r="R41" s="128"/>
      <c r="S41" s="124"/>
      <c r="T41" s="128"/>
      <c r="U41" s="124"/>
      <c r="V41" s="128"/>
      <c r="W41" s="124"/>
      <c r="X41" s="128"/>
      <c r="Y41" s="124"/>
      <c r="Z41" s="128"/>
      <c r="AA41" s="124"/>
      <c r="AB41" s="128"/>
    </row>
    <row r="42" ht="15" customHeight="1" spans="1:28">
      <c r="A42" s="117" t="s">
        <v>430</v>
      </c>
      <c r="B42" s="122" t="s">
        <v>24</v>
      </c>
      <c r="C42" s="128"/>
      <c r="D42" s="70">
        <v>0</v>
      </c>
      <c r="E42" s="70">
        <f t="shared" ref="E42:AB42" si="8">D42</f>
        <v>0</v>
      </c>
      <c r="F42" s="70">
        <f t="shared" si="8"/>
        <v>0</v>
      </c>
      <c r="G42" s="70">
        <f t="shared" si="8"/>
        <v>0</v>
      </c>
      <c r="H42" s="70">
        <f t="shared" si="8"/>
        <v>0</v>
      </c>
      <c r="I42" s="70">
        <f t="shared" si="8"/>
        <v>0</v>
      </c>
      <c r="J42" s="70">
        <f t="shared" si="8"/>
        <v>0</v>
      </c>
      <c r="K42" s="70">
        <f t="shared" si="8"/>
        <v>0</v>
      </c>
      <c r="L42" s="70">
        <f t="shared" si="8"/>
        <v>0</v>
      </c>
      <c r="M42" s="70">
        <f t="shared" si="8"/>
        <v>0</v>
      </c>
      <c r="N42" s="70">
        <f t="shared" si="8"/>
        <v>0</v>
      </c>
      <c r="O42" s="70">
        <f t="shared" si="8"/>
        <v>0</v>
      </c>
      <c r="P42" s="70">
        <f t="shared" si="8"/>
        <v>0</v>
      </c>
      <c r="Q42" s="70">
        <f t="shared" si="8"/>
        <v>0</v>
      </c>
      <c r="R42" s="70">
        <f t="shared" si="8"/>
        <v>0</v>
      </c>
      <c r="S42" s="70">
        <f t="shared" si="8"/>
        <v>0</v>
      </c>
      <c r="T42" s="70">
        <f t="shared" si="8"/>
        <v>0</v>
      </c>
      <c r="U42" s="70">
        <f t="shared" si="8"/>
        <v>0</v>
      </c>
      <c r="V42" s="70">
        <f t="shared" si="8"/>
        <v>0</v>
      </c>
      <c r="W42" s="70">
        <f t="shared" si="8"/>
        <v>0</v>
      </c>
      <c r="X42" s="70">
        <f t="shared" si="8"/>
        <v>0</v>
      </c>
      <c r="Y42" s="70">
        <f t="shared" si="8"/>
        <v>0</v>
      </c>
      <c r="Z42" s="70">
        <f t="shared" si="8"/>
        <v>0</v>
      </c>
      <c r="AA42" s="70">
        <f t="shared" si="8"/>
        <v>0</v>
      </c>
      <c r="AB42" s="70">
        <f t="shared" si="8"/>
        <v>0</v>
      </c>
    </row>
    <row r="43" ht="15" customHeight="1" spans="1:28">
      <c r="A43" s="117" t="s">
        <v>431</v>
      </c>
      <c r="B43" s="122" t="s">
        <v>86</v>
      </c>
      <c r="C43" s="70">
        <v>13</v>
      </c>
      <c r="D43" s="128"/>
      <c r="E43" s="124"/>
      <c r="F43" s="128"/>
      <c r="G43" s="124"/>
      <c r="H43" s="128"/>
      <c r="I43" s="124"/>
      <c r="J43" s="128"/>
      <c r="K43" s="124"/>
      <c r="L43" s="128"/>
      <c r="M43" s="124"/>
      <c r="N43" s="128"/>
      <c r="O43" s="124"/>
      <c r="P43" s="128"/>
      <c r="Q43" s="124"/>
      <c r="R43" s="128"/>
      <c r="S43" s="124"/>
      <c r="T43" s="128"/>
      <c r="U43" s="124"/>
      <c r="V43" s="128"/>
      <c r="W43" s="124"/>
      <c r="X43" s="128"/>
      <c r="Y43" s="124"/>
      <c r="Z43" s="128"/>
      <c r="AA43" s="124"/>
      <c r="AB43" s="128"/>
    </row>
    <row r="44" ht="15" customHeight="1" spans="1:28">
      <c r="A44" s="117" t="s">
        <v>432</v>
      </c>
      <c r="B44" s="122" t="s">
        <v>24</v>
      </c>
      <c r="C44" s="128"/>
      <c r="D44" s="70">
        <v>0</v>
      </c>
      <c r="E44" s="70">
        <f t="shared" ref="E44:AB44" si="9">D44</f>
        <v>0</v>
      </c>
      <c r="F44" s="70">
        <f t="shared" si="9"/>
        <v>0</v>
      </c>
      <c r="G44" s="70">
        <f t="shared" si="9"/>
        <v>0</v>
      </c>
      <c r="H44" s="70">
        <f t="shared" si="9"/>
        <v>0</v>
      </c>
      <c r="I44" s="70">
        <f t="shared" si="9"/>
        <v>0</v>
      </c>
      <c r="J44" s="70">
        <f t="shared" si="9"/>
        <v>0</v>
      </c>
      <c r="K44" s="70">
        <f t="shared" si="9"/>
        <v>0</v>
      </c>
      <c r="L44" s="70">
        <f t="shared" si="9"/>
        <v>0</v>
      </c>
      <c r="M44" s="70">
        <f t="shared" si="9"/>
        <v>0</v>
      </c>
      <c r="N44" s="70">
        <f t="shared" si="9"/>
        <v>0</v>
      </c>
      <c r="O44" s="70">
        <f t="shared" si="9"/>
        <v>0</v>
      </c>
      <c r="P44" s="70">
        <f t="shared" si="9"/>
        <v>0</v>
      </c>
      <c r="Q44" s="70">
        <f t="shared" si="9"/>
        <v>0</v>
      </c>
      <c r="R44" s="70">
        <f t="shared" si="9"/>
        <v>0</v>
      </c>
      <c r="S44" s="70">
        <f t="shared" si="9"/>
        <v>0</v>
      </c>
      <c r="T44" s="70">
        <f t="shared" si="9"/>
        <v>0</v>
      </c>
      <c r="U44" s="70">
        <f t="shared" si="9"/>
        <v>0</v>
      </c>
      <c r="V44" s="70">
        <f t="shared" si="9"/>
        <v>0</v>
      </c>
      <c r="W44" s="70">
        <f t="shared" si="9"/>
        <v>0</v>
      </c>
      <c r="X44" s="70">
        <f t="shared" si="9"/>
        <v>0</v>
      </c>
      <c r="Y44" s="70">
        <f t="shared" si="9"/>
        <v>0</v>
      </c>
      <c r="Z44" s="70">
        <f t="shared" si="9"/>
        <v>0</v>
      </c>
      <c r="AA44" s="70">
        <f t="shared" si="9"/>
        <v>0</v>
      </c>
      <c r="AB44" s="70">
        <f t="shared" si="9"/>
        <v>0</v>
      </c>
    </row>
    <row r="45" ht="15" customHeight="1" spans="1:28">
      <c r="A45" s="117" t="s">
        <v>433</v>
      </c>
      <c r="B45" s="122" t="s">
        <v>86</v>
      </c>
      <c r="C45" s="70">
        <v>13</v>
      </c>
      <c r="D45" s="128"/>
      <c r="E45" s="124"/>
      <c r="F45" s="128"/>
      <c r="G45" s="124"/>
      <c r="H45" s="128"/>
      <c r="I45" s="124"/>
      <c r="J45" s="128"/>
      <c r="K45" s="124"/>
      <c r="L45" s="128"/>
      <c r="M45" s="124"/>
      <c r="N45" s="128"/>
      <c r="O45" s="124"/>
      <c r="P45" s="128"/>
      <c r="Q45" s="124"/>
      <c r="R45" s="128"/>
      <c r="S45" s="124"/>
      <c r="T45" s="128"/>
      <c r="U45" s="124"/>
      <c r="V45" s="128"/>
      <c r="W45" s="124"/>
      <c r="X45" s="128"/>
      <c r="Y45" s="124"/>
      <c r="Z45" s="128"/>
      <c r="AA45" s="124"/>
      <c r="AB45" s="128"/>
    </row>
    <row r="46" ht="15" customHeight="1" spans="1:28">
      <c r="A46" s="117" t="s">
        <v>434</v>
      </c>
      <c r="B46" s="122" t="s">
        <v>24</v>
      </c>
      <c r="C46" s="128"/>
      <c r="D46" s="70">
        <v>0</v>
      </c>
      <c r="E46" s="70">
        <f t="shared" ref="E46:AB46" si="10">D46</f>
        <v>0</v>
      </c>
      <c r="F46" s="70">
        <f t="shared" si="10"/>
        <v>0</v>
      </c>
      <c r="G46" s="70">
        <f t="shared" si="10"/>
        <v>0</v>
      </c>
      <c r="H46" s="70">
        <f t="shared" si="10"/>
        <v>0</v>
      </c>
      <c r="I46" s="70">
        <f t="shared" si="10"/>
        <v>0</v>
      </c>
      <c r="J46" s="70">
        <f t="shared" si="10"/>
        <v>0</v>
      </c>
      <c r="K46" s="70">
        <f t="shared" si="10"/>
        <v>0</v>
      </c>
      <c r="L46" s="70">
        <f t="shared" si="10"/>
        <v>0</v>
      </c>
      <c r="M46" s="70">
        <f t="shared" si="10"/>
        <v>0</v>
      </c>
      <c r="N46" s="70">
        <f t="shared" si="10"/>
        <v>0</v>
      </c>
      <c r="O46" s="70">
        <f t="shared" si="10"/>
        <v>0</v>
      </c>
      <c r="P46" s="70">
        <f t="shared" si="10"/>
        <v>0</v>
      </c>
      <c r="Q46" s="70">
        <f t="shared" si="10"/>
        <v>0</v>
      </c>
      <c r="R46" s="70">
        <f t="shared" si="10"/>
        <v>0</v>
      </c>
      <c r="S46" s="70">
        <f t="shared" si="10"/>
        <v>0</v>
      </c>
      <c r="T46" s="70">
        <f t="shared" si="10"/>
        <v>0</v>
      </c>
      <c r="U46" s="70">
        <f t="shared" si="10"/>
        <v>0</v>
      </c>
      <c r="V46" s="70">
        <f t="shared" si="10"/>
        <v>0</v>
      </c>
      <c r="W46" s="70">
        <f t="shared" si="10"/>
        <v>0</v>
      </c>
      <c r="X46" s="70">
        <f t="shared" si="10"/>
        <v>0</v>
      </c>
      <c r="Y46" s="70">
        <f t="shared" si="10"/>
        <v>0</v>
      </c>
      <c r="Z46" s="70">
        <f t="shared" si="10"/>
        <v>0</v>
      </c>
      <c r="AA46" s="70">
        <f t="shared" si="10"/>
        <v>0</v>
      </c>
      <c r="AB46" s="70">
        <f t="shared" si="10"/>
        <v>0</v>
      </c>
    </row>
    <row r="47" ht="15" customHeight="1" spans="1:28">
      <c r="A47" s="117" t="s">
        <v>435</v>
      </c>
      <c r="B47" s="122" t="s">
        <v>86</v>
      </c>
      <c r="C47" s="70">
        <v>13</v>
      </c>
      <c r="D47" s="128"/>
      <c r="E47" s="124"/>
      <c r="F47" s="128"/>
      <c r="G47" s="124"/>
      <c r="H47" s="128"/>
      <c r="I47" s="124"/>
      <c r="J47" s="128"/>
      <c r="K47" s="124"/>
      <c r="L47" s="128"/>
      <c r="M47" s="124"/>
      <c r="N47" s="128"/>
      <c r="O47" s="124"/>
      <c r="P47" s="128"/>
      <c r="Q47" s="124"/>
      <c r="R47" s="128"/>
      <c r="S47" s="124"/>
      <c r="T47" s="128"/>
      <c r="U47" s="124"/>
      <c r="V47" s="128"/>
      <c r="W47" s="124"/>
      <c r="X47" s="128"/>
      <c r="Y47" s="124"/>
      <c r="Z47" s="128"/>
      <c r="AA47" s="124"/>
      <c r="AB47" s="128"/>
    </row>
    <row r="48" ht="15" customHeight="1" spans="1:28">
      <c r="A48" s="117" t="s">
        <v>436</v>
      </c>
      <c r="B48" s="122" t="s">
        <v>24</v>
      </c>
      <c r="C48" s="146"/>
      <c r="D48" s="131">
        <f t="shared" ref="D48:AB48" si="11">D38+D40</f>
        <v>0</v>
      </c>
      <c r="E48" s="131">
        <f t="shared" si="11"/>
        <v>0</v>
      </c>
      <c r="F48" s="131">
        <f t="shared" si="11"/>
        <v>0</v>
      </c>
      <c r="G48" s="131">
        <f t="shared" si="11"/>
        <v>0</v>
      </c>
      <c r="H48" s="131">
        <f t="shared" si="11"/>
        <v>0</v>
      </c>
      <c r="I48" s="131">
        <f t="shared" si="11"/>
        <v>0</v>
      </c>
      <c r="J48" s="131">
        <f t="shared" si="11"/>
        <v>0</v>
      </c>
      <c r="K48" s="131">
        <f t="shared" si="11"/>
        <v>0</v>
      </c>
      <c r="L48" s="131">
        <f t="shared" si="11"/>
        <v>0</v>
      </c>
      <c r="M48" s="131">
        <f t="shared" si="11"/>
        <v>0</v>
      </c>
      <c r="N48" s="131">
        <f t="shared" si="11"/>
        <v>0</v>
      </c>
      <c r="O48" s="131">
        <f t="shared" si="11"/>
        <v>0</v>
      </c>
      <c r="P48" s="131">
        <f t="shared" si="11"/>
        <v>0</v>
      </c>
      <c r="Q48" s="131">
        <f t="shared" si="11"/>
        <v>0</v>
      </c>
      <c r="R48" s="131">
        <f t="shared" si="11"/>
        <v>0</v>
      </c>
      <c r="S48" s="131">
        <f t="shared" si="11"/>
        <v>0</v>
      </c>
      <c r="T48" s="131">
        <f t="shared" si="11"/>
        <v>0</v>
      </c>
      <c r="U48" s="131">
        <f t="shared" si="11"/>
        <v>0</v>
      </c>
      <c r="V48" s="131">
        <f t="shared" si="11"/>
        <v>0</v>
      </c>
      <c r="W48" s="131">
        <f t="shared" si="11"/>
        <v>0</v>
      </c>
      <c r="X48" s="131">
        <f t="shared" si="11"/>
        <v>0</v>
      </c>
      <c r="Y48" s="131">
        <f t="shared" si="11"/>
        <v>0</v>
      </c>
      <c r="Z48" s="131">
        <f t="shared" si="11"/>
        <v>0</v>
      </c>
      <c r="AA48" s="131">
        <f t="shared" si="11"/>
        <v>0</v>
      </c>
      <c r="AB48" s="131">
        <f t="shared" si="11"/>
        <v>0</v>
      </c>
    </row>
    <row r="49" ht="15" customHeight="1" spans="1:28">
      <c r="A49" s="117" t="s">
        <v>437</v>
      </c>
      <c r="B49" s="122" t="s">
        <v>24</v>
      </c>
      <c r="C49" s="124"/>
      <c r="D49" s="153">
        <f t="shared" ref="D49:AB49" si="12">D38/(1+$C$39%)+D40/(1+$C$41%)+D42/(1+$C$43%)+D44/(1+$C$45%)+D46/(1+$C$47%)</f>
        <v>0</v>
      </c>
      <c r="E49" s="153">
        <f t="shared" si="12"/>
        <v>0</v>
      </c>
      <c r="F49" s="153">
        <f t="shared" si="12"/>
        <v>0</v>
      </c>
      <c r="G49" s="153">
        <f t="shared" si="12"/>
        <v>0</v>
      </c>
      <c r="H49" s="153">
        <f t="shared" si="12"/>
        <v>0</v>
      </c>
      <c r="I49" s="153">
        <f t="shared" si="12"/>
        <v>0</v>
      </c>
      <c r="J49" s="153">
        <f t="shared" si="12"/>
        <v>0</v>
      </c>
      <c r="K49" s="153">
        <f t="shared" si="12"/>
        <v>0</v>
      </c>
      <c r="L49" s="153">
        <f t="shared" si="12"/>
        <v>0</v>
      </c>
      <c r="M49" s="153">
        <f t="shared" si="12"/>
        <v>0</v>
      </c>
      <c r="N49" s="153">
        <f t="shared" si="12"/>
        <v>0</v>
      </c>
      <c r="O49" s="153">
        <f t="shared" si="12"/>
        <v>0</v>
      </c>
      <c r="P49" s="153">
        <f t="shared" si="12"/>
        <v>0</v>
      </c>
      <c r="Q49" s="153">
        <f t="shared" si="12"/>
        <v>0</v>
      </c>
      <c r="R49" s="153">
        <f t="shared" si="12"/>
        <v>0</v>
      </c>
      <c r="S49" s="153">
        <f t="shared" si="12"/>
        <v>0</v>
      </c>
      <c r="T49" s="153">
        <f t="shared" si="12"/>
        <v>0</v>
      </c>
      <c r="U49" s="153">
        <f t="shared" si="12"/>
        <v>0</v>
      </c>
      <c r="V49" s="153">
        <f t="shared" si="12"/>
        <v>0</v>
      </c>
      <c r="W49" s="153">
        <f t="shared" si="12"/>
        <v>0</v>
      </c>
      <c r="X49" s="153">
        <f t="shared" si="12"/>
        <v>0</v>
      </c>
      <c r="Y49" s="153">
        <f t="shared" si="12"/>
        <v>0</v>
      </c>
      <c r="Z49" s="153">
        <f t="shared" si="12"/>
        <v>0</v>
      </c>
      <c r="AA49" s="153">
        <f t="shared" si="12"/>
        <v>0</v>
      </c>
      <c r="AB49" s="153">
        <f t="shared" si="12"/>
        <v>0</v>
      </c>
    </row>
    <row r="50" ht="15" customHeight="1" spans="1:28">
      <c r="A50" s="114" t="s">
        <v>438</v>
      </c>
      <c r="B50" s="114"/>
      <c r="C50" s="132"/>
      <c r="D50" s="135"/>
      <c r="E50" s="134"/>
      <c r="F50" s="135"/>
      <c r="G50" s="134"/>
      <c r="H50" s="135"/>
      <c r="I50" s="134"/>
      <c r="J50" s="135"/>
      <c r="K50" s="134"/>
      <c r="L50" s="135"/>
      <c r="M50" s="134"/>
      <c r="N50" s="135"/>
      <c r="O50" s="134"/>
      <c r="P50" s="135"/>
      <c r="Q50" s="134"/>
      <c r="R50" s="135"/>
      <c r="S50" s="134"/>
      <c r="T50" s="135"/>
      <c r="U50" s="134"/>
      <c r="V50" s="135"/>
      <c r="W50" s="134"/>
      <c r="X50" s="135"/>
      <c r="Y50" s="134"/>
      <c r="Z50" s="135"/>
      <c r="AA50" s="134"/>
      <c r="AB50" s="135"/>
    </row>
    <row r="51" ht="15" customHeight="1" spans="1:28">
      <c r="A51" s="117"/>
      <c r="B51" s="122" t="s">
        <v>277</v>
      </c>
      <c r="C51" s="139" t="s">
        <v>278</v>
      </c>
      <c r="D51" s="123" t="s">
        <v>279</v>
      </c>
      <c r="E51" s="140" t="s">
        <v>280</v>
      </c>
      <c r="F51" s="123" t="s">
        <v>281</v>
      </c>
      <c r="G51" s="140" t="s">
        <v>282</v>
      </c>
      <c r="H51" s="123" t="s">
        <v>327</v>
      </c>
      <c r="I51" s="140" t="s">
        <v>328</v>
      </c>
      <c r="J51" s="123" t="s">
        <v>329</v>
      </c>
      <c r="K51" s="140" t="s">
        <v>330</v>
      </c>
      <c r="L51" s="123" t="s">
        <v>331</v>
      </c>
      <c r="M51" s="140" t="s">
        <v>332</v>
      </c>
      <c r="N51" s="123" t="s">
        <v>333</v>
      </c>
      <c r="O51" s="140" t="s">
        <v>334</v>
      </c>
      <c r="P51" s="123" t="s">
        <v>335</v>
      </c>
      <c r="Q51" s="140" t="s">
        <v>336</v>
      </c>
      <c r="R51" s="123" t="s">
        <v>337</v>
      </c>
      <c r="S51" s="140" t="s">
        <v>338</v>
      </c>
      <c r="T51" s="123" t="s">
        <v>339</v>
      </c>
      <c r="U51" s="140" t="s">
        <v>340</v>
      </c>
      <c r="V51" s="123" t="s">
        <v>341</v>
      </c>
      <c r="W51" s="140" t="s">
        <v>342</v>
      </c>
      <c r="X51" s="123" t="s">
        <v>343</v>
      </c>
      <c r="Y51" s="140" t="s">
        <v>344</v>
      </c>
      <c r="Z51" s="123" t="s">
        <v>345</v>
      </c>
      <c r="AA51" s="140" t="s">
        <v>346</v>
      </c>
      <c r="AB51" s="123" t="s">
        <v>347</v>
      </c>
    </row>
    <row r="52" ht="15" customHeight="1" spans="1:28">
      <c r="A52" s="117" t="s">
        <v>439</v>
      </c>
      <c r="B52" s="122" t="s">
        <v>24</v>
      </c>
      <c r="C52" s="128"/>
      <c r="D52" s="70">
        <v>0</v>
      </c>
      <c r="E52" s="70">
        <f t="shared" ref="E52:AB52" si="13">D52</f>
        <v>0</v>
      </c>
      <c r="F52" s="70">
        <f t="shared" si="13"/>
        <v>0</v>
      </c>
      <c r="G52" s="70">
        <f t="shared" si="13"/>
        <v>0</v>
      </c>
      <c r="H52" s="70">
        <f t="shared" si="13"/>
        <v>0</v>
      </c>
      <c r="I52" s="70">
        <f t="shared" si="13"/>
        <v>0</v>
      </c>
      <c r="J52" s="70">
        <f t="shared" si="13"/>
        <v>0</v>
      </c>
      <c r="K52" s="70">
        <f t="shared" si="13"/>
        <v>0</v>
      </c>
      <c r="L52" s="70">
        <f t="shared" si="13"/>
        <v>0</v>
      </c>
      <c r="M52" s="70">
        <f t="shared" si="13"/>
        <v>0</v>
      </c>
      <c r="N52" s="70">
        <f t="shared" si="13"/>
        <v>0</v>
      </c>
      <c r="O52" s="70">
        <f t="shared" si="13"/>
        <v>0</v>
      </c>
      <c r="P52" s="70">
        <f t="shared" si="13"/>
        <v>0</v>
      </c>
      <c r="Q52" s="70">
        <f t="shared" si="13"/>
        <v>0</v>
      </c>
      <c r="R52" s="70">
        <f t="shared" si="13"/>
        <v>0</v>
      </c>
      <c r="S52" s="70">
        <f t="shared" si="13"/>
        <v>0</v>
      </c>
      <c r="T52" s="70">
        <f t="shared" si="13"/>
        <v>0</v>
      </c>
      <c r="U52" s="70">
        <f t="shared" si="13"/>
        <v>0</v>
      </c>
      <c r="V52" s="70">
        <f t="shared" si="13"/>
        <v>0</v>
      </c>
      <c r="W52" s="70">
        <f t="shared" si="13"/>
        <v>0</v>
      </c>
      <c r="X52" s="70">
        <f t="shared" si="13"/>
        <v>0</v>
      </c>
      <c r="Y52" s="70">
        <f t="shared" si="13"/>
        <v>0</v>
      </c>
      <c r="Z52" s="70">
        <f t="shared" si="13"/>
        <v>0</v>
      </c>
      <c r="AA52" s="70">
        <f t="shared" si="13"/>
        <v>0</v>
      </c>
      <c r="AB52" s="70">
        <f t="shared" si="13"/>
        <v>0</v>
      </c>
    </row>
    <row r="53" ht="15" customHeight="1" spans="1:28">
      <c r="A53" s="117" t="s">
        <v>440</v>
      </c>
      <c r="B53" s="122" t="s">
        <v>86</v>
      </c>
      <c r="C53" s="70">
        <v>13</v>
      </c>
      <c r="D53" s="128"/>
      <c r="E53" s="124"/>
      <c r="F53" s="128"/>
      <c r="G53" s="124"/>
      <c r="H53" s="128"/>
      <c r="I53" s="124"/>
      <c r="J53" s="128"/>
      <c r="K53" s="124"/>
      <c r="L53" s="128"/>
      <c r="M53" s="124"/>
      <c r="N53" s="128"/>
      <c r="O53" s="124"/>
      <c r="P53" s="128"/>
      <c r="Q53" s="124"/>
      <c r="R53" s="128"/>
      <c r="S53" s="124"/>
      <c r="T53" s="128"/>
      <c r="U53" s="124"/>
      <c r="V53" s="128"/>
      <c r="W53" s="124"/>
      <c r="X53" s="128"/>
      <c r="Y53" s="124"/>
      <c r="Z53" s="128"/>
      <c r="AA53" s="124"/>
      <c r="AB53" s="128"/>
    </row>
    <row r="54" ht="15" customHeight="1" spans="1:28">
      <c r="A54" s="117" t="s">
        <v>428</v>
      </c>
      <c r="B54" s="122" t="s">
        <v>24</v>
      </c>
      <c r="C54" s="128"/>
      <c r="D54" s="70">
        <v>0</v>
      </c>
      <c r="E54" s="70">
        <f t="shared" ref="E54:AB54" si="14">D54</f>
        <v>0</v>
      </c>
      <c r="F54" s="70">
        <f t="shared" si="14"/>
        <v>0</v>
      </c>
      <c r="G54" s="70">
        <f t="shared" si="14"/>
        <v>0</v>
      </c>
      <c r="H54" s="70">
        <f t="shared" si="14"/>
        <v>0</v>
      </c>
      <c r="I54" s="70">
        <f t="shared" si="14"/>
        <v>0</v>
      </c>
      <c r="J54" s="70">
        <f t="shared" si="14"/>
        <v>0</v>
      </c>
      <c r="K54" s="70">
        <f t="shared" si="14"/>
        <v>0</v>
      </c>
      <c r="L54" s="70">
        <f t="shared" si="14"/>
        <v>0</v>
      </c>
      <c r="M54" s="70">
        <f t="shared" si="14"/>
        <v>0</v>
      </c>
      <c r="N54" s="70">
        <f t="shared" si="14"/>
        <v>0</v>
      </c>
      <c r="O54" s="70">
        <f t="shared" si="14"/>
        <v>0</v>
      </c>
      <c r="P54" s="70">
        <f t="shared" si="14"/>
        <v>0</v>
      </c>
      <c r="Q54" s="70">
        <f t="shared" si="14"/>
        <v>0</v>
      </c>
      <c r="R54" s="70">
        <f t="shared" si="14"/>
        <v>0</v>
      </c>
      <c r="S54" s="70">
        <f t="shared" si="14"/>
        <v>0</v>
      </c>
      <c r="T54" s="70">
        <f t="shared" si="14"/>
        <v>0</v>
      </c>
      <c r="U54" s="70">
        <f t="shared" si="14"/>
        <v>0</v>
      </c>
      <c r="V54" s="70">
        <f t="shared" si="14"/>
        <v>0</v>
      </c>
      <c r="W54" s="70">
        <f t="shared" si="14"/>
        <v>0</v>
      </c>
      <c r="X54" s="70">
        <f t="shared" si="14"/>
        <v>0</v>
      </c>
      <c r="Y54" s="70">
        <f t="shared" si="14"/>
        <v>0</v>
      </c>
      <c r="Z54" s="70">
        <f t="shared" si="14"/>
        <v>0</v>
      </c>
      <c r="AA54" s="70">
        <f t="shared" si="14"/>
        <v>0</v>
      </c>
      <c r="AB54" s="70">
        <f t="shared" si="14"/>
        <v>0</v>
      </c>
    </row>
    <row r="55" ht="15" customHeight="1" spans="1:28">
      <c r="A55" s="117" t="s">
        <v>429</v>
      </c>
      <c r="B55" s="122" t="s">
        <v>86</v>
      </c>
      <c r="C55" s="70">
        <v>13</v>
      </c>
      <c r="D55" s="128"/>
      <c r="E55" s="124"/>
      <c r="F55" s="128"/>
      <c r="G55" s="124"/>
      <c r="H55" s="128"/>
      <c r="I55" s="124"/>
      <c r="J55" s="128"/>
      <c r="K55" s="124"/>
      <c r="L55" s="128"/>
      <c r="M55" s="124"/>
      <c r="N55" s="128"/>
      <c r="O55" s="124"/>
      <c r="P55" s="128"/>
      <c r="Q55" s="124"/>
      <c r="R55" s="128"/>
      <c r="S55" s="124"/>
      <c r="T55" s="128"/>
      <c r="U55" s="124"/>
      <c r="V55" s="128"/>
      <c r="W55" s="124"/>
      <c r="X55" s="128"/>
      <c r="Y55" s="124"/>
      <c r="Z55" s="128"/>
      <c r="AA55" s="124"/>
      <c r="AB55" s="128"/>
    </row>
    <row r="56" ht="15" customHeight="1" spans="1:28">
      <c r="A56" s="117" t="s">
        <v>430</v>
      </c>
      <c r="B56" s="122" t="s">
        <v>24</v>
      </c>
      <c r="C56" s="128"/>
      <c r="D56" s="70">
        <v>0</v>
      </c>
      <c r="E56" s="70">
        <f t="shared" ref="E56:AB56" si="15">D56</f>
        <v>0</v>
      </c>
      <c r="F56" s="70">
        <f t="shared" si="15"/>
        <v>0</v>
      </c>
      <c r="G56" s="70">
        <f t="shared" si="15"/>
        <v>0</v>
      </c>
      <c r="H56" s="70">
        <f t="shared" si="15"/>
        <v>0</v>
      </c>
      <c r="I56" s="70">
        <f t="shared" si="15"/>
        <v>0</v>
      </c>
      <c r="J56" s="70">
        <f t="shared" si="15"/>
        <v>0</v>
      </c>
      <c r="K56" s="70">
        <f t="shared" si="15"/>
        <v>0</v>
      </c>
      <c r="L56" s="70">
        <f t="shared" si="15"/>
        <v>0</v>
      </c>
      <c r="M56" s="70">
        <f t="shared" si="15"/>
        <v>0</v>
      </c>
      <c r="N56" s="70">
        <f t="shared" si="15"/>
        <v>0</v>
      </c>
      <c r="O56" s="70">
        <f t="shared" si="15"/>
        <v>0</v>
      </c>
      <c r="P56" s="70">
        <f t="shared" si="15"/>
        <v>0</v>
      </c>
      <c r="Q56" s="70">
        <f t="shared" si="15"/>
        <v>0</v>
      </c>
      <c r="R56" s="70">
        <f t="shared" si="15"/>
        <v>0</v>
      </c>
      <c r="S56" s="70">
        <f t="shared" si="15"/>
        <v>0</v>
      </c>
      <c r="T56" s="70">
        <f t="shared" si="15"/>
        <v>0</v>
      </c>
      <c r="U56" s="70">
        <f t="shared" si="15"/>
        <v>0</v>
      </c>
      <c r="V56" s="70">
        <f t="shared" si="15"/>
        <v>0</v>
      </c>
      <c r="W56" s="70">
        <f t="shared" si="15"/>
        <v>0</v>
      </c>
      <c r="X56" s="70">
        <f t="shared" si="15"/>
        <v>0</v>
      </c>
      <c r="Y56" s="70">
        <f t="shared" si="15"/>
        <v>0</v>
      </c>
      <c r="Z56" s="70">
        <f t="shared" si="15"/>
        <v>0</v>
      </c>
      <c r="AA56" s="70">
        <f t="shared" si="15"/>
        <v>0</v>
      </c>
      <c r="AB56" s="70">
        <f t="shared" si="15"/>
        <v>0</v>
      </c>
    </row>
    <row r="57" ht="15" customHeight="1" spans="1:28">
      <c r="A57" s="117" t="s">
        <v>431</v>
      </c>
      <c r="B57" s="122" t="s">
        <v>86</v>
      </c>
      <c r="C57" s="70">
        <v>13</v>
      </c>
      <c r="D57" s="128"/>
      <c r="E57" s="124"/>
      <c r="F57" s="128"/>
      <c r="G57" s="124"/>
      <c r="H57" s="128"/>
      <c r="I57" s="124"/>
      <c r="J57" s="128"/>
      <c r="K57" s="124"/>
      <c r="L57" s="128"/>
      <c r="M57" s="124"/>
      <c r="N57" s="128"/>
      <c r="O57" s="124"/>
      <c r="P57" s="128"/>
      <c r="Q57" s="124"/>
      <c r="R57" s="128"/>
      <c r="S57" s="124"/>
      <c r="T57" s="128"/>
      <c r="U57" s="124"/>
      <c r="V57" s="128"/>
      <c r="W57" s="124"/>
      <c r="X57" s="128"/>
      <c r="Y57" s="124"/>
      <c r="Z57" s="128"/>
      <c r="AA57" s="124"/>
      <c r="AB57" s="128"/>
    </row>
    <row r="58" ht="15" customHeight="1" spans="1:28">
      <c r="A58" s="117" t="s">
        <v>432</v>
      </c>
      <c r="B58" s="122" t="s">
        <v>24</v>
      </c>
      <c r="C58" s="128"/>
      <c r="D58" s="70">
        <v>0</v>
      </c>
      <c r="E58" s="70">
        <f t="shared" ref="E58:AB58" si="16">D58</f>
        <v>0</v>
      </c>
      <c r="F58" s="70">
        <f t="shared" si="16"/>
        <v>0</v>
      </c>
      <c r="G58" s="70">
        <f t="shared" si="16"/>
        <v>0</v>
      </c>
      <c r="H58" s="70">
        <f t="shared" si="16"/>
        <v>0</v>
      </c>
      <c r="I58" s="70">
        <f t="shared" si="16"/>
        <v>0</v>
      </c>
      <c r="J58" s="70">
        <f t="shared" si="16"/>
        <v>0</v>
      </c>
      <c r="K58" s="70">
        <f t="shared" si="16"/>
        <v>0</v>
      </c>
      <c r="L58" s="70">
        <f t="shared" si="16"/>
        <v>0</v>
      </c>
      <c r="M58" s="70">
        <f t="shared" si="16"/>
        <v>0</v>
      </c>
      <c r="N58" s="70">
        <f t="shared" si="16"/>
        <v>0</v>
      </c>
      <c r="O58" s="70">
        <f t="shared" si="16"/>
        <v>0</v>
      </c>
      <c r="P58" s="70">
        <f t="shared" si="16"/>
        <v>0</v>
      </c>
      <c r="Q58" s="70">
        <f t="shared" si="16"/>
        <v>0</v>
      </c>
      <c r="R58" s="70">
        <f t="shared" si="16"/>
        <v>0</v>
      </c>
      <c r="S58" s="70">
        <f t="shared" si="16"/>
        <v>0</v>
      </c>
      <c r="T58" s="70">
        <f t="shared" si="16"/>
        <v>0</v>
      </c>
      <c r="U58" s="70">
        <f t="shared" si="16"/>
        <v>0</v>
      </c>
      <c r="V58" s="70">
        <f t="shared" si="16"/>
        <v>0</v>
      </c>
      <c r="W58" s="70">
        <f t="shared" si="16"/>
        <v>0</v>
      </c>
      <c r="X58" s="70">
        <f t="shared" si="16"/>
        <v>0</v>
      </c>
      <c r="Y58" s="70">
        <f t="shared" si="16"/>
        <v>0</v>
      </c>
      <c r="Z58" s="70">
        <f t="shared" si="16"/>
        <v>0</v>
      </c>
      <c r="AA58" s="70">
        <f t="shared" si="16"/>
        <v>0</v>
      </c>
      <c r="AB58" s="70">
        <f t="shared" si="16"/>
        <v>0</v>
      </c>
    </row>
    <row r="59" ht="15" customHeight="1" spans="1:28">
      <c r="A59" s="117" t="s">
        <v>433</v>
      </c>
      <c r="B59" s="122" t="s">
        <v>86</v>
      </c>
      <c r="C59" s="70">
        <v>13</v>
      </c>
      <c r="D59" s="128"/>
      <c r="E59" s="124"/>
      <c r="F59" s="128"/>
      <c r="G59" s="124"/>
      <c r="H59" s="128"/>
      <c r="I59" s="124"/>
      <c r="J59" s="128"/>
      <c r="K59" s="124"/>
      <c r="L59" s="128"/>
      <c r="M59" s="124"/>
      <c r="N59" s="128"/>
      <c r="O59" s="124"/>
      <c r="P59" s="128"/>
      <c r="Q59" s="124"/>
      <c r="R59" s="128"/>
      <c r="S59" s="124"/>
      <c r="T59" s="128"/>
      <c r="U59" s="124"/>
      <c r="V59" s="128"/>
      <c r="W59" s="124"/>
      <c r="X59" s="128"/>
      <c r="Y59" s="124"/>
      <c r="Z59" s="128"/>
      <c r="AA59" s="124"/>
      <c r="AB59" s="128"/>
    </row>
    <row r="60" ht="15" customHeight="1" spans="1:28">
      <c r="A60" s="117" t="s">
        <v>434</v>
      </c>
      <c r="B60" s="122" t="s">
        <v>24</v>
      </c>
      <c r="C60" s="128"/>
      <c r="D60" s="70">
        <v>0</v>
      </c>
      <c r="E60" s="70">
        <f t="shared" ref="E60:AB60" si="17">D60</f>
        <v>0</v>
      </c>
      <c r="F60" s="70">
        <f t="shared" si="17"/>
        <v>0</v>
      </c>
      <c r="G60" s="70">
        <f t="shared" si="17"/>
        <v>0</v>
      </c>
      <c r="H60" s="70">
        <f t="shared" si="17"/>
        <v>0</v>
      </c>
      <c r="I60" s="70">
        <f t="shared" si="17"/>
        <v>0</v>
      </c>
      <c r="J60" s="70">
        <f t="shared" si="17"/>
        <v>0</v>
      </c>
      <c r="K60" s="70">
        <f t="shared" si="17"/>
        <v>0</v>
      </c>
      <c r="L60" s="70">
        <f t="shared" si="17"/>
        <v>0</v>
      </c>
      <c r="M60" s="70">
        <f t="shared" si="17"/>
        <v>0</v>
      </c>
      <c r="N60" s="70">
        <f t="shared" si="17"/>
        <v>0</v>
      </c>
      <c r="O60" s="70">
        <f t="shared" si="17"/>
        <v>0</v>
      </c>
      <c r="P60" s="70">
        <f t="shared" si="17"/>
        <v>0</v>
      </c>
      <c r="Q60" s="70">
        <f t="shared" si="17"/>
        <v>0</v>
      </c>
      <c r="R60" s="70">
        <f t="shared" si="17"/>
        <v>0</v>
      </c>
      <c r="S60" s="70">
        <f t="shared" si="17"/>
        <v>0</v>
      </c>
      <c r="T60" s="70">
        <f t="shared" si="17"/>
        <v>0</v>
      </c>
      <c r="U60" s="70">
        <f t="shared" si="17"/>
        <v>0</v>
      </c>
      <c r="V60" s="70">
        <f t="shared" si="17"/>
        <v>0</v>
      </c>
      <c r="W60" s="70">
        <f t="shared" si="17"/>
        <v>0</v>
      </c>
      <c r="X60" s="70">
        <f t="shared" si="17"/>
        <v>0</v>
      </c>
      <c r="Y60" s="70">
        <f t="shared" si="17"/>
        <v>0</v>
      </c>
      <c r="Z60" s="70">
        <f t="shared" si="17"/>
        <v>0</v>
      </c>
      <c r="AA60" s="70">
        <f t="shared" si="17"/>
        <v>0</v>
      </c>
      <c r="AB60" s="70">
        <f t="shared" si="17"/>
        <v>0</v>
      </c>
    </row>
    <row r="61" ht="15" customHeight="1" spans="1:28">
      <c r="A61" s="117" t="s">
        <v>435</v>
      </c>
      <c r="B61" s="122" t="s">
        <v>86</v>
      </c>
      <c r="C61" s="70">
        <v>13</v>
      </c>
      <c r="D61" s="128"/>
      <c r="E61" s="124"/>
      <c r="F61" s="128"/>
      <c r="G61" s="124"/>
      <c r="H61" s="128"/>
      <c r="I61" s="124"/>
      <c r="J61" s="128"/>
      <c r="K61" s="124"/>
      <c r="L61" s="128"/>
      <c r="M61" s="124"/>
      <c r="N61" s="128"/>
      <c r="O61" s="124"/>
      <c r="P61" s="128"/>
      <c r="Q61" s="124"/>
      <c r="R61" s="128"/>
      <c r="S61" s="124"/>
      <c r="T61" s="128"/>
      <c r="U61" s="124"/>
      <c r="V61" s="128"/>
      <c r="W61" s="124"/>
      <c r="X61" s="128"/>
      <c r="Y61" s="124"/>
      <c r="Z61" s="128"/>
      <c r="AA61" s="124"/>
      <c r="AB61" s="128"/>
    </row>
    <row r="62" ht="15" customHeight="1" spans="1:28">
      <c r="A62" s="117" t="s">
        <v>441</v>
      </c>
      <c r="B62" s="122" t="s">
        <v>24</v>
      </c>
      <c r="C62" s="131"/>
      <c r="D62" s="131">
        <f t="shared" ref="D62:AB62" si="18">D52+D54+D56+D58+D60</f>
        <v>0</v>
      </c>
      <c r="E62" s="131">
        <f t="shared" si="18"/>
        <v>0</v>
      </c>
      <c r="F62" s="131">
        <f t="shared" si="18"/>
        <v>0</v>
      </c>
      <c r="G62" s="131">
        <f t="shared" si="18"/>
        <v>0</v>
      </c>
      <c r="H62" s="131">
        <f t="shared" si="18"/>
        <v>0</v>
      </c>
      <c r="I62" s="131">
        <f t="shared" si="18"/>
        <v>0</v>
      </c>
      <c r="J62" s="131">
        <f t="shared" si="18"/>
        <v>0</v>
      </c>
      <c r="K62" s="131">
        <f t="shared" si="18"/>
        <v>0</v>
      </c>
      <c r="L62" s="131">
        <f t="shared" si="18"/>
        <v>0</v>
      </c>
      <c r="M62" s="131">
        <f t="shared" si="18"/>
        <v>0</v>
      </c>
      <c r="N62" s="131">
        <f t="shared" si="18"/>
        <v>0</v>
      </c>
      <c r="O62" s="131">
        <f t="shared" si="18"/>
        <v>0</v>
      </c>
      <c r="P62" s="131">
        <f t="shared" si="18"/>
        <v>0</v>
      </c>
      <c r="Q62" s="131">
        <f t="shared" si="18"/>
        <v>0</v>
      </c>
      <c r="R62" s="131">
        <f t="shared" si="18"/>
        <v>0</v>
      </c>
      <c r="S62" s="131">
        <f t="shared" si="18"/>
        <v>0</v>
      </c>
      <c r="T62" s="131">
        <f t="shared" si="18"/>
        <v>0</v>
      </c>
      <c r="U62" s="131">
        <f t="shared" si="18"/>
        <v>0</v>
      </c>
      <c r="V62" s="131">
        <f t="shared" si="18"/>
        <v>0</v>
      </c>
      <c r="W62" s="131">
        <f t="shared" si="18"/>
        <v>0</v>
      </c>
      <c r="X62" s="131">
        <f t="shared" si="18"/>
        <v>0</v>
      </c>
      <c r="Y62" s="131">
        <f t="shared" si="18"/>
        <v>0</v>
      </c>
      <c r="Z62" s="131">
        <f t="shared" si="18"/>
        <v>0</v>
      </c>
      <c r="AA62" s="131">
        <f t="shared" si="18"/>
        <v>0</v>
      </c>
      <c r="AB62" s="131">
        <f t="shared" si="18"/>
        <v>0</v>
      </c>
    </row>
    <row r="63" ht="15" customHeight="1" spans="1:28">
      <c r="A63" s="117" t="s">
        <v>442</v>
      </c>
      <c r="B63" s="122" t="s">
        <v>24</v>
      </c>
      <c r="C63" s="131"/>
      <c r="D63" s="131">
        <f t="shared" ref="D63:AB63" si="19">D52/(1+$C$53%)+D54/(1+$C$55%)+D56/(1+$C$57%)+D58/(1+$C$59%)+D60/(1+$C$61%)</f>
        <v>0</v>
      </c>
      <c r="E63" s="131">
        <f t="shared" si="19"/>
        <v>0</v>
      </c>
      <c r="F63" s="131">
        <f t="shared" si="19"/>
        <v>0</v>
      </c>
      <c r="G63" s="131">
        <f t="shared" si="19"/>
        <v>0</v>
      </c>
      <c r="H63" s="131">
        <f t="shared" si="19"/>
        <v>0</v>
      </c>
      <c r="I63" s="131">
        <f t="shared" si="19"/>
        <v>0</v>
      </c>
      <c r="J63" s="131">
        <f t="shared" si="19"/>
        <v>0</v>
      </c>
      <c r="K63" s="131">
        <f t="shared" si="19"/>
        <v>0</v>
      </c>
      <c r="L63" s="131">
        <f t="shared" si="19"/>
        <v>0</v>
      </c>
      <c r="M63" s="131">
        <f t="shared" si="19"/>
        <v>0</v>
      </c>
      <c r="N63" s="131">
        <f t="shared" si="19"/>
        <v>0</v>
      </c>
      <c r="O63" s="131">
        <f t="shared" si="19"/>
        <v>0</v>
      </c>
      <c r="P63" s="131">
        <f t="shared" si="19"/>
        <v>0</v>
      </c>
      <c r="Q63" s="131">
        <f t="shared" si="19"/>
        <v>0</v>
      </c>
      <c r="R63" s="131">
        <f t="shared" si="19"/>
        <v>0</v>
      </c>
      <c r="S63" s="131">
        <f t="shared" si="19"/>
        <v>0</v>
      </c>
      <c r="T63" s="131">
        <f t="shared" si="19"/>
        <v>0</v>
      </c>
      <c r="U63" s="131">
        <f t="shared" si="19"/>
        <v>0</v>
      </c>
      <c r="V63" s="131">
        <f t="shared" si="19"/>
        <v>0</v>
      </c>
      <c r="W63" s="131">
        <f t="shared" si="19"/>
        <v>0</v>
      </c>
      <c r="X63" s="131">
        <f t="shared" si="19"/>
        <v>0</v>
      </c>
      <c r="Y63" s="131">
        <f t="shared" si="19"/>
        <v>0</v>
      </c>
      <c r="Z63" s="131">
        <f t="shared" si="19"/>
        <v>0</v>
      </c>
      <c r="AA63" s="131">
        <f t="shared" si="19"/>
        <v>0</v>
      </c>
      <c r="AB63" s="131">
        <f t="shared" si="19"/>
        <v>0</v>
      </c>
    </row>
    <row r="64" ht="17.25" hidden="1" customHeight="1" spans="1:28">
      <c r="A64" s="76" t="s">
        <v>443</v>
      </c>
      <c r="B64" s="76"/>
      <c r="C64" s="154">
        <v>100</v>
      </c>
      <c r="D64" s="154">
        <v>98</v>
      </c>
      <c r="E64" s="77">
        <v>97.45</v>
      </c>
      <c r="F64" s="77">
        <v>96.9</v>
      </c>
      <c r="G64" s="77">
        <v>96.35</v>
      </c>
      <c r="H64" s="77">
        <v>95.8</v>
      </c>
      <c r="I64" s="77">
        <v>95.25</v>
      </c>
      <c r="J64" s="77">
        <v>94.7</v>
      </c>
      <c r="K64" s="77">
        <v>94.15</v>
      </c>
      <c r="L64" s="77">
        <v>93.6</v>
      </c>
      <c r="M64" s="77">
        <v>93.05</v>
      </c>
      <c r="N64" s="77">
        <v>92.5</v>
      </c>
      <c r="O64" s="77">
        <v>91.95</v>
      </c>
      <c r="P64" s="77">
        <v>91.4</v>
      </c>
      <c r="Q64" s="77">
        <v>90.85</v>
      </c>
      <c r="R64" s="77">
        <v>90.3</v>
      </c>
      <c r="S64" s="77">
        <v>89.75</v>
      </c>
      <c r="T64" s="77">
        <v>89.2</v>
      </c>
      <c r="U64" s="77">
        <v>88.65</v>
      </c>
      <c r="V64" s="77">
        <v>88.1000000000001</v>
      </c>
      <c r="W64" s="77">
        <v>87.5500000000001</v>
      </c>
      <c r="X64" s="77">
        <v>87.0000000000001</v>
      </c>
      <c r="Y64" s="77">
        <v>86.4500000000001</v>
      </c>
      <c r="Z64" s="77">
        <v>85.9000000000001</v>
      </c>
      <c r="AA64" s="77">
        <v>85.3500000000001</v>
      </c>
      <c r="AB64" s="77">
        <v>84.8000000000001</v>
      </c>
    </row>
    <row r="65" ht="17.25" hidden="1" customHeight="1" spans="1:28">
      <c r="A65" s="76" t="s">
        <v>444</v>
      </c>
      <c r="B65" s="76"/>
      <c r="C65" s="154">
        <v>100</v>
      </c>
      <c r="D65" s="154">
        <v>98</v>
      </c>
      <c r="E65" s="77">
        <v>97.5</v>
      </c>
      <c r="F65" s="154">
        <v>97</v>
      </c>
      <c r="G65" s="77">
        <v>96.5</v>
      </c>
      <c r="H65" s="154">
        <v>96</v>
      </c>
      <c r="I65" s="77">
        <v>95.5</v>
      </c>
      <c r="J65" s="154">
        <v>95</v>
      </c>
      <c r="K65" s="77">
        <v>94.5</v>
      </c>
      <c r="L65" s="154">
        <v>94</v>
      </c>
      <c r="M65" s="77">
        <v>93.5</v>
      </c>
      <c r="N65" s="154">
        <v>93</v>
      </c>
      <c r="O65" s="77">
        <v>92.5</v>
      </c>
      <c r="P65" s="154">
        <v>92</v>
      </c>
      <c r="Q65" s="77">
        <v>91.5</v>
      </c>
      <c r="R65" s="154">
        <v>91</v>
      </c>
      <c r="S65" s="77">
        <v>90.5</v>
      </c>
      <c r="T65" s="154">
        <v>90</v>
      </c>
      <c r="U65" s="77">
        <v>89.5</v>
      </c>
      <c r="V65" s="154">
        <v>89</v>
      </c>
      <c r="W65" s="77">
        <v>88.5</v>
      </c>
      <c r="X65" s="154">
        <v>88</v>
      </c>
      <c r="Y65" s="77">
        <v>87.5</v>
      </c>
      <c r="Z65" s="154">
        <v>87</v>
      </c>
      <c r="AA65" s="77">
        <v>86.5</v>
      </c>
      <c r="AB65" s="154">
        <v>86</v>
      </c>
    </row>
    <row r="66" ht="17.25" hidden="1" customHeight="1" spans="1:28">
      <c r="A66" s="76" t="s">
        <v>445</v>
      </c>
      <c r="B66" s="76"/>
      <c r="C66" s="154">
        <v>100</v>
      </c>
      <c r="D66" s="154">
        <v>99</v>
      </c>
      <c r="E66" s="77">
        <v>98.55</v>
      </c>
      <c r="F66" s="77">
        <v>98.1</v>
      </c>
      <c r="G66" s="77">
        <v>97.65</v>
      </c>
      <c r="H66" s="77">
        <v>97.2</v>
      </c>
      <c r="I66" s="77">
        <v>96.75</v>
      </c>
      <c r="J66" s="77">
        <v>96.3</v>
      </c>
      <c r="K66" s="77">
        <v>95.85</v>
      </c>
      <c r="L66" s="77">
        <v>95.4</v>
      </c>
      <c r="M66" s="77">
        <v>94.95</v>
      </c>
      <c r="N66" s="77">
        <v>94.5</v>
      </c>
      <c r="O66" s="77">
        <v>94.05</v>
      </c>
      <c r="P66" s="77">
        <v>93.6</v>
      </c>
      <c r="Q66" s="77">
        <v>93.15</v>
      </c>
      <c r="R66" s="77">
        <v>92.7</v>
      </c>
      <c r="S66" s="77">
        <v>92.25</v>
      </c>
      <c r="T66" s="77">
        <v>91.8</v>
      </c>
      <c r="U66" s="77">
        <v>91.35</v>
      </c>
      <c r="V66" s="77">
        <v>90.8999999999999</v>
      </c>
      <c r="W66" s="77">
        <v>90.4499999999999</v>
      </c>
      <c r="X66" s="77">
        <v>89.9999999999999</v>
      </c>
      <c r="Y66" s="77">
        <v>89.5499999999999</v>
      </c>
      <c r="Z66" s="77">
        <v>89.0999999999999</v>
      </c>
      <c r="AA66" s="77">
        <v>88.6499999999999</v>
      </c>
      <c r="AB66" s="77">
        <v>88.1999999999999</v>
      </c>
    </row>
    <row r="67" ht="17.25" hidden="1" customHeight="1" spans="1:28">
      <c r="A67" s="76" t="s">
        <v>446</v>
      </c>
      <c r="B67" s="76"/>
      <c r="C67" s="154">
        <v>100</v>
      </c>
      <c r="D67" s="154">
        <v>99</v>
      </c>
      <c r="E67" s="77">
        <v>98.6</v>
      </c>
      <c r="F67" s="77">
        <v>98.2</v>
      </c>
      <c r="G67" s="77">
        <v>97.8</v>
      </c>
      <c r="H67" s="77">
        <v>97.4</v>
      </c>
      <c r="I67" s="154">
        <v>97</v>
      </c>
      <c r="J67" s="77">
        <v>96.6</v>
      </c>
      <c r="K67" s="77">
        <v>96.2</v>
      </c>
      <c r="L67" s="77">
        <v>95.8</v>
      </c>
      <c r="M67" s="77">
        <v>95.3999999999999</v>
      </c>
      <c r="N67" s="77">
        <v>94.9999999999999</v>
      </c>
      <c r="O67" s="77">
        <v>94.5999999999999</v>
      </c>
      <c r="P67" s="77">
        <v>94.1999999999999</v>
      </c>
      <c r="Q67" s="77">
        <v>93.7999999999999</v>
      </c>
      <c r="R67" s="77">
        <v>93.3999999999999</v>
      </c>
      <c r="S67" s="77">
        <v>92.9999999999999</v>
      </c>
      <c r="T67" s="77">
        <v>92.5999999999999</v>
      </c>
      <c r="U67" s="77">
        <v>92.1999999999999</v>
      </c>
      <c r="V67" s="77">
        <v>91.7999999999999</v>
      </c>
      <c r="W67" s="77">
        <v>91.3999999999999</v>
      </c>
      <c r="X67" s="77">
        <v>90.9999999999999</v>
      </c>
      <c r="Y67" s="77">
        <v>90.5999999999999</v>
      </c>
      <c r="Z67" s="77">
        <v>90.1999999999999</v>
      </c>
      <c r="AA67" s="77">
        <v>89.7999999999999</v>
      </c>
      <c r="AB67" s="77">
        <v>89.3999999999999</v>
      </c>
    </row>
    <row r="68" ht="17.25" hidden="1" customHeight="1" spans="1:28">
      <c r="A68" s="76" t="s">
        <v>447</v>
      </c>
      <c r="B68" s="76"/>
      <c r="C68" s="154">
        <v>100</v>
      </c>
      <c r="D68" s="154">
        <v>98</v>
      </c>
      <c r="E68" s="77">
        <v>97.45</v>
      </c>
      <c r="F68" s="77">
        <v>96.9</v>
      </c>
      <c r="G68" s="77">
        <v>96.35</v>
      </c>
      <c r="H68" s="77">
        <v>95.8</v>
      </c>
      <c r="I68" s="77">
        <v>95.25</v>
      </c>
      <c r="J68" s="77">
        <v>94.7</v>
      </c>
      <c r="K68" s="77">
        <v>94.15</v>
      </c>
      <c r="L68" s="77">
        <v>93.6</v>
      </c>
      <c r="M68" s="77">
        <v>93.05</v>
      </c>
      <c r="N68" s="77">
        <v>92.5</v>
      </c>
      <c r="O68" s="77">
        <v>91.95</v>
      </c>
      <c r="P68" s="77">
        <v>91.4</v>
      </c>
      <c r="Q68" s="77">
        <v>90.85</v>
      </c>
      <c r="R68" s="77">
        <v>90.3</v>
      </c>
      <c r="S68" s="77">
        <v>89.75</v>
      </c>
      <c r="T68" s="77">
        <v>89.2</v>
      </c>
      <c r="U68" s="77">
        <v>88.65</v>
      </c>
      <c r="V68" s="77">
        <v>88.1000000000001</v>
      </c>
      <c r="W68" s="77">
        <v>87.5500000000001</v>
      </c>
      <c r="X68" s="77">
        <v>87.0000000000001</v>
      </c>
      <c r="Y68" s="77">
        <v>86.4500000000001</v>
      </c>
      <c r="Z68" s="77">
        <v>85.9000000000001</v>
      </c>
      <c r="AA68" s="77">
        <v>85.3500000000001</v>
      </c>
      <c r="AB68" s="77">
        <v>84.8000000000001</v>
      </c>
    </row>
    <row r="69" ht="17.25" hidden="1" customHeight="1" spans="1:28">
      <c r="A69" s="76" t="s">
        <v>448</v>
      </c>
      <c r="B69" s="76"/>
      <c r="C69" s="154">
        <v>100</v>
      </c>
      <c r="D69" s="154">
        <v>98</v>
      </c>
      <c r="E69" s="77">
        <v>97.5</v>
      </c>
      <c r="F69" s="154">
        <v>97</v>
      </c>
      <c r="G69" s="77">
        <v>96.5</v>
      </c>
      <c r="H69" s="154">
        <v>96</v>
      </c>
      <c r="I69" s="77">
        <v>95.5</v>
      </c>
      <c r="J69" s="154">
        <v>95</v>
      </c>
      <c r="K69" s="77">
        <v>94.5</v>
      </c>
      <c r="L69" s="154">
        <v>94</v>
      </c>
      <c r="M69" s="77">
        <v>93.5</v>
      </c>
      <c r="N69" s="154">
        <v>93</v>
      </c>
      <c r="O69" s="77">
        <v>92.5</v>
      </c>
      <c r="P69" s="154">
        <v>92</v>
      </c>
      <c r="Q69" s="77">
        <v>91.5</v>
      </c>
      <c r="R69" s="154">
        <v>91</v>
      </c>
      <c r="S69" s="77">
        <v>90.5</v>
      </c>
      <c r="T69" s="154">
        <v>90</v>
      </c>
      <c r="U69" s="77">
        <v>89.5</v>
      </c>
      <c r="V69" s="154">
        <v>89</v>
      </c>
      <c r="W69" s="77">
        <v>88.5</v>
      </c>
      <c r="X69" s="154">
        <v>88</v>
      </c>
      <c r="Y69" s="77">
        <v>87.5</v>
      </c>
      <c r="Z69" s="154">
        <v>87</v>
      </c>
      <c r="AA69" s="77">
        <v>86.5</v>
      </c>
      <c r="AB69" s="154">
        <v>86</v>
      </c>
    </row>
  </sheetData>
  <mergeCells count="23">
    <mergeCell ref="A1:C1"/>
    <mergeCell ref="A2:B2"/>
    <mergeCell ref="A5:B5"/>
    <mergeCell ref="A7:B7"/>
    <mergeCell ref="A11:C11"/>
    <mergeCell ref="A13:C13"/>
    <mergeCell ref="A17:C17"/>
    <mergeCell ref="A18:B18"/>
    <mergeCell ref="A24:C24"/>
    <mergeCell ref="D24:AB24"/>
    <mergeCell ref="A27:C27"/>
    <mergeCell ref="D27:AB27"/>
    <mergeCell ref="A30:C30"/>
    <mergeCell ref="D30:AB30"/>
    <mergeCell ref="A33:C33"/>
    <mergeCell ref="D33:AB33"/>
    <mergeCell ref="A36:C36"/>
    <mergeCell ref="D36:AB36"/>
    <mergeCell ref="A50:C50"/>
    <mergeCell ref="D50:AB50"/>
    <mergeCell ref="D1:AB3"/>
    <mergeCell ref="D11:AB14"/>
    <mergeCell ref="D17:AB1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B16"/>
  <sheetViews>
    <sheetView workbookViewId="0">
      <pane xSplit="3" topLeftCell="D1" activePane="topRight" state="frozen"/>
      <selection/>
      <selection pane="topRight" activeCell="A1" sqref="A1:C1"/>
    </sheetView>
  </sheetViews>
  <sheetFormatPr defaultColWidth="8.83333333333333" defaultRowHeight="13.5"/>
  <cols>
    <col min="1" max="1" width="32.8333333333333" style="14" customWidth="1"/>
    <col min="2" max="2" width="12.8333333333333" style="1" customWidth="1"/>
    <col min="3" max="3" width="12.8333333333333" style="15" customWidth="1"/>
    <col min="4" max="28" width="12.8333333333333" style="113" customWidth="1"/>
  </cols>
  <sheetData>
    <row r="1" ht="15" customHeight="1" spans="1:28">
      <c r="A1" s="114" t="s">
        <v>449</v>
      </c>
      <c r="B1" s="114"/>
      <c r="C1" s="114"/>
      <c r="D1" s="115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</row>
    <row r="2" ht="15" customHeight="1" spans="1:28">
      <c r="A2" s="117" t="s">
        <v>450</v>
      </c>
      <c r="B2" s="118" t="s">
        <v>451</v>
      </c>
      <c r="C2" s="119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 ht="15" customHeight="1" spans="1:28">
      <c r="A3" s="117" t="s">
        <v>452</v>
      </c>
      <c r="B3" s="120" t="s">
        <v>453</v>
      </c>
      <c r="C3" s="121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 ht="15" customHeight="1" spans="1:28">
      <c r="A4" s="117"/>
      <c r="B4" s="122" t="s">
        <v>277</v>
      </c>
      <c r="C4" s="122" t="s">
        <v>278</v>
      </c>
      <c r="D4" s="123" t="s">
        <v>279</v>
      </c>
      <c r="E4" s="123" t="s">
        <v>280</v>
      </c>
      <c r="F4" s="123" t="s">
        <v>281</v>
      </c>
      <c r="G4" s="123" t="s">
        <v>282</v>
      </c>
      <c r="H4" s="123" t="s">
        <v>327</v>
      </c>
      <c r="I4" s="123" t="s">
        <v>328</v>
      </c>
      <c r="J4" s="123" t="s">
        <v>329</v>
      </c>
      <c r="K4" s="123" t="s">
        <v>330</v>
      </c>
      <c r="L4" s="123" t="s">
        <v>331</v>
      </c>
      <c r="M4" s="123" t="s">
        <v>332</v>
      </c>
      <c r="N4" s="123" t="s">
        <v>333</v>
      </c>
      <c r="O4" s="123" t="s">
        <v>334</v>
      </c>
      <c r="P4" s="123" t="s">
        <v>335</v>
      </c>
      <c r="Q4" s="123" t="s">
        <v>336</v>
      </c>
      <c r="R4" s="123" t="s">
        <v>337</v>
      </c>
      <c r="S4" s="123" t="s">
        <v>338</v>
      </c>
      <c r="T4" s="123" t="s">
        <v>339</v>
      </c>
      <c r="U4" s="123" t="s">
        <v>340</v>
      </c>
      <c r="V4" s="123" t="s">
        <v>341</v>
      </c>
      <c r="W4" s="123" t="s">
        <v>342</v>
      </c>
      <c r="X4" s="123" t="s">
        <v>343</v>
      </c>
      <c r="Y4" s="123" t="s">
        <v>344</v>
      </c>
      <c r="Z4" s="123" t="s">
        <v>345</v>
      </c>
      <c r="AA4" s="123" t="s">
        <v>346</v>
      </c>
      <c r="AB4" s="123" t="s">
        <v>347</v>
      </c>
    </row>
    <row r="5" ht="15" customHeight="1" spans="1:28">
      <c r="A5" s="117" t="s">
        <v>454</v>
      </c>
      <c r="B5" s="122" t="s">
        <v>272</v>
      </c>
      <c r="C5" s="124"/>
      <c r="D5" s="51">
        <v>0.3</v>
      </c>
      <c r="E5" s="51">
        <v>0.3</v>
      </c>
      <c r="F5" s="51">
        <v>0.3</v>
      </c>
      <c r="G5" s="51">
        <v>0.3</v>
      </c>
      <c r="H5" s="51">
        <v>0.3</v>
      </c>
      <c r="I5" s="51">
        <v>0.3</v>
      </c>
      <c r="J5" s="51">
        <v>0.3</v>
      </c>
      <c r="K5" s="51">
        <v>0.3</v>
      </c>
      <c r="L5" s="51">
        <v>0.3</v>
      </c>
      <c r="M5" s="51">
        <v>0.3</v>
      </c>
      <c r="N5" s="51">
        <v>0.3</v>
      </c>
      <c r="O5" s="51">
        <v>0.3</v>
      </c>
      <c r="P5" s="51">
        <v>0.3</v>
      </c>
      <c r="Q5" s="51">
        <v>0.3</v>
      </c>
      <c r="R5" s="51">
        <v>0.3</v>
      </c>
      <c r="S5" s="51">
        <v>0.3</v>
      </c>
      <c r="T5" s="51">
        <v>0.3</v>
      </c>
      <c r="U5" s="51">
        <v>0.3</v>
      </c>
      <c r="V5" s="51">
        <v>0.3</v>
      </c>
      <c r="W5" s="51">
        <v>0.3</v>
      </c>
      <c r="X5" s="51">
        <v>0.3</v>
      </c>
      <c r="Y5" s="51">
        <v>0.3</v>
      </c>
      <c r="Z5" s="51">
        <v>0.3</v>
      </c>
      <c r="AA5" s="51">
        <v>0.3</v>
      </c>
      <c r="AB5" s="51">
        <v>0.3</v>
      </c>
    </row>
    <row r="6" ht="15" customHeight="1" spans="1:28">
      <c r="A6" s="125" t="s">
        <v>455</v>
      </c>
      <c r="B6" s="122" t="s">
        <v>272</v>
      </c>
      <c r="C6" s="124"/>
      <c r="D6" s="51">
        <v>0.4</v>
      </c>
      <c r="E6" s="51">
        <v>0.4</v>
      </c>
      <c r="F6" s="51">
        <v>0.4</v>
      </c>
      <c r="G6" s="51">
        <v>0.4</v>
      </c>
      <c r="H6" s="51">
        <v>0.4</v>
      </c>
      <c r="I6" s="51">
        <v>0.4</v>
      </c>
      <c r="J6" s="51">
        <v>0.4</v>
      </c>
      <c r="K6" s="51">
        <v>0.4</v>
      </c>
      <c r="L6" s="51">
        <v>0.4</v>
      </c>
      <c r="M6" s="51">
        <v>0.4</v>
      </c>
      <c r="N6" s="51">
        <v>0.4</v>
      </c>
      <c r="O6" s="51">
        <v>0.4</v>
      </c>
      <c r="P6" s="51">
        <v>0.4</v>
      </c>
      <c r="Q6" s="51">
        <v>0.4</v>
      </c>
      <c r="R6" s="51">
        <v>0.4</v>
      </c>
      <c r="S6" s="51">
        <v>0.4</v>
      </c>
      <c r="T6" s="51">
        <v>0.4</v>
      </c>
      <c r="U6" s="51">
        <v>0.4</v>
      </c>
      <c r="V6" s="51">
        <v>0.4</v>
      </c>
      <c r="W6" s="51">
        <v>0.4</v>
      </c>
      <c r="X6" s="51">
        <v>0.4</v>
      </c>
      <c r="Y6" s="51">
        <v>0.4</v>
      </c>
      <c r="Z6" s="51">
        <v>0.4</v>
      </c>
      <c r="AA6" s="51">
        <v>0.4</v>
      </c>
      <c r="AB6" s="51">
        <v>0.4</v>
      </c>
    </row>
    <row r="7" ht="15" customHeight="1" spans="1:28">
      <c r="A7" s="85"/>
      <c r="B7" s="122" t="s">
        <v>456</v>
      </c>
      <c r="C7" s="124"/>
      <c r="D7" s="70">
        <v>100</v>
      </c>
      <c r="E7" s="70">
        <v>100</v>
      </c>
      <c r="F7" s="70">
        <v>100</v>
      </c>
      <c r="G7" s="70">
        <v>100</v>
      </c>
      <c r="H7" s="70">
        <v>100</v>
      </c>
      <c r="I7" s="70">
        <v>100</v>
      </c>
      <c r="J7" s="70">
        <v>100</v>
      </c>
      <c r="K7" s="70">
        <v>100</v>
      </c>
      <c r="L7" s="70">
        <v>100</v>
      </c>
      <c r="M7" s="70">
        <v>100</v>
      </c>
      <c r="N7" s="70">
        <v>100</v>
      </c>
      <c r="O7" s="70">
        <v>100</v>
      </c>
      <c r="P7" s="70">
        <v>100</v>
      </c>
      <c r="Q7" s="70">
        <v>100</v>
      </c>
      <c r="R7" s="70">
        <v>100</v>
      </c>
      <c r="S7" s="70">
        <v>100</v>
      </c>
      <c r="T7" s="70">
        <v>100</v>
      </c>
      <c r="U7" s="70">
        <v>100</v>
      </c>
      <c r="V7" s="70">
        <v>100</v>
      </c>
      <c r="W7" s="70">
        <v>100</v>
      </c>
      <c r="X7" s="70">
        <v>100</v>
      </c>
      <c r="Y7" s="70">
        <v>100</v>
      </c>
      <c r="Z7" s="70">
        <v>100</v>
      </c>
      <c r="AA7" s="70">
        <v>100</v>
      </c>
      <c r="AB7" s="70">
        <v>100</v>
      </c>
    </row>
    <row r="8" ht="15" customHeight="1" spans="1:28">
      <c r="A8" s="125" t="s">
        <v>457</v>
      </c>
      <c r="B8" s="122" t="s">
        <v>272</v>
      </c>
      <c r="C8" s="124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</row>
    <row r="9" ht="15" customHeight="1" spans="1:28">
      <c r="A9" s="85"/>
      <c r="B9" s="122" t="s">
        <v>456</v>
      </c>
      <c r="C9" s="124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</row>
    <row r="10" ht="15" customHeight="1" spans="1:28">
      <c r="A10" s="125" t="s">
        <v>458</v>
      </c>
      <c r="B10" s="122" t="s">
        <v>272</v>
      </c>
      <c r="C10" s="124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</row>
    <row r="11" ht="15" customHeight="1" spans="1:28">
      <c r="A11" s="85"/>
      <c r="B11" s="122" t="s">
        <v>456</v>
      </c>
      <c r="C11" s="124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</row>
    <row r="12" ht="15" customHeight="1" spans="1:28">
      <c r="A12" s="117" t="s">
        <v>459</v>
      </c>
      <c r="B12" s="122" t="s">
        <v>272</v>
      </c>
      <c r="C12" s="124"/>
      <c r="D12" s="126">
        <f t="shared" ref="D12:AB12" si="0">D6*IF($B$7="占比（%）",D7%,D7/D14)+D8*IF($B$9="占比（%）",D9%,D9/D14)+D10*IF($B$11="占比（%）",D11%,D11/D14)</f>
        <v>0.4</v>
      </c>
      <c r="E12" s="126">
        <f t="shared" si="0"/>
        <v>0.4</v>
      </c>
      <c r="F12" s="126">
        <f t="shared" si="0"/>
        <v>0.4</v>
      </c>
      <c r="G12" s="126">
        <f t="shared" si="0"/>
        <v>0.4</v>
      </c>
      <c r="H12" s="126">
        <f t="shared" si="0"/>
        <v>0.4</v>
      </c>
      <c r="I12" s="126">
        <f t="shared" si="0"/>
        <v>0.4</v>
      </c>
      <c r="J12" s="126">
        <f t="shared" si="0"/>
        <v>0.4</v>
      </c>
      <c r="K12" s="126">
        <f t="shared" si="0"/>
        <v>0.4</v>
      </c>
      <c r="L12" s="126">
        <f t="shared" si="0"/>
        <v>0.4</v>
      </c>
      <c r="M12" s="126">
        <f t="shared" si="0"/>
        <v>0.4</v>
      </c>
      <c r="N12" s="126">
        <f t="shared" si="0"/>
        <v>0.4</v>
      </c>
      <c r="O12" s="126">
        <f t="shared" si="0"/>
        <v>0.4</v>
      </c>
      <c r="P12" s="126">
        <f t="shared" si="0"/>
        <v>0.4</v>
      </c>
      <c r="Q12" s="126">
        <f t="shared" si="0"/>
        <v>0.4</v>
      </c>
      <c r="R12" s="126">
        <f t="shared" si="0"/>
        <v>0.4</v>
      </c>
      <c r="S12" s="126">
        <f t="shared" si="0"/>
        <v>0.4</v>
      </c>
      <c r="T12" s="126">
        <f t="shared" si="0"/>
        <v>0.4</v>
      </c>
      <c r="U12" s="126">
        <f t="shared" si="0"/>
        <v>0.4</v>
      </c>
      <c r="V12" s="126">
        <f t="shared" si="0"/>
        <v>0.4</v>
      </c>
      <c r="W12" s="126">
        <f t="shared" si="0"/>
        <v>0.4</v>
      </c>
      <c r="X12" s="126">
        <f t="shared" si="0"/>
        <v>0.4</v>
      </c>
      <c r="Y12" s="126">
        <f t="shared" si="0"/>
        <v>0.4</v>
      </c>
      <c r="Z12" s="126">
        <f t="shared" si="0"/>
        <v>0.4</v>
      </c>
      <c r="AA12" s="126">
        <f t="shared" si="0"/>
        <v>0.4</v>
      </c>
      <c r="AB12" s="126">
        <f t="shared" si="0"/>
        <v>0.4</v>
      </c>
    </row>
    <row r="13" ht="15" customHeight="1" spans="1:28">
      <c r="A13" s="117" t="s">
        <v>460</v>
      </c>
      <c r="B13" s="122" t="s">
        <v>272</v>
      </c>
      <c r="C13" s="127"/>
      <c r="D13" s="128" t="e">
        <f>IF($B$2="手动输入",IF($B$3="综合电价",D5,D12),VLOOKUP(地区辅助页!$E$1,IF($B$2="标准1",电价电量取值表!$A:$H,电价电量取值表!$Q:$X),IF(D15&gt;2030,8,D15-2025+3),FALSE))*IF(OR(基本参数!$B$2&lt;=COLUMN()-3,COLUMN()-3&lt;基本参数!$B$3),0,1)</f>
        <v>#VALUE!</v>
      </c>
      <c r="E13" s="128" t="e">
        <f>IF($B$2="手动输入",IF($B$3="综合电价",E5,E12),VLOOKUP(地区辅助页!$E$1,IF($B$2="标准1",电价电量取值表!$A:$H,电价电量取值表!$Q:$X),IF(E15&gt;2030,8,E15-2025+3),FALSE))*IF(OR(基本参数!$B$2&lt;=COLUMN()-3,COLUMN()-3&lt;基本参数!$B$3),0,1)</f>
        <v>#VALUE!</v>
      </c>
      <c r="F13" s="128" t="e">
        <f>IF($B$2="手动输入",IF($B$3="综合电价",F5,F12),VLOOKUP(地区辅助页!$E$1,IF($B$2="标准1",电价电量取值表!$A:$H,电价电量取值表!$Q:$X),IF(F15&gt;2030,8,F15-2025+3),FALSE))*IF(OR(基本参数!$B$2&lt;=COLUMN()-3,COLUMN()-3&lt;基本参数!$B$3),0,1)</f>
        <v>#VALUE!</v>
      </c>
      <c r="G13" s="128" t="e">
        <f>IF($B$2="手动输入",IF($B$3="综合电价",G5,G12),VLOOKUP(地区辅助页!$E$1,IF($B$2="标准1",电价电量取值表!$A:$H,电价电量取值表!$Q:$X),IF(G15&gt;2030,8,G15-2025+3),FALSE))*IF(OR(基本参数!$B$2&lt;=COLUMN()-3,COLUMN()-3&lt;基本参数!$B$3),0,1)</f>
        <v>#VALUE!</v>
      </c>
      <c r="H13" s="128" t="e">
        <f>IF($B$2="手动输入",IF($B$3="综合电价",H5,H12),VLOOKUP(地区辅助页!$E$1,IF($B$2="标准1",电价电量取值表!$A:$H,电价电量取值表!$Q:$X),IF(H15&gt;2030,8,H15-2025+3),FALSE))*IF(OR(基本参数!$B$2&lt;=COLUMN()-3,COLUMN()-3&lt;基本参数!$B$3),0,1)</f>
        <v>#VALUE!</v>
      </c>
      <c r="I13" s="128" t="e">
        <f>IF($B$2="手动输入",IF($B$3="综合电价",I5,I12),VLOOKUP(地区辅助页!$E$1,IF($B$2="标准1",电价电量取值表!$A:$H,电价电量取值表!$Q:$X),IF(I15&gt;2030,8,I15-2025+3),FALSE))*IF(OR(基本参数!$B$2&lt;=COLUMN()-3,COLUMN()-3&lt;基本参数!$B$3),0,1)</f>
        <v>#VALUE!</v>
      </c>
      <c r="J13" s="128" t="e">
        <f>IF($B$2="手动输入",IF($B$3="综合电价",J5,J12),VLOOKUP(地区辅助页!$E$1,IF($B$2="标准1",电价电量取值表!$A:$H,电价电量取值表!$Q:$X),IF(J15&gt;2030,8,J15-2025+3),FALSE))*IF(OR(基本参数!$B$2&lt;=COLUMN()-3,COLUMN()-3&lt;基本参数!$B$3),0,1)</f>
        <v>#VALUE!</v>
      </c>
      <c r="K13" s="128" t="e">
        <f>IF($B$2="手动输入",IF($B$3="综合电价",K5,K12),VLOOKUP(地区辅助页!$E$1,IF($B$2="标准1",电价电量取值表!$A:$H,电价电量取值表!$Q:$X),IF(K15&gt;2030,8,K15-2025+3),FALSE))*IF(OR(基本参数!$B$2&lt;=COLUMN()-3,COLUMN()-3&lt;基本参数!$B$3),0,1)</f>
        <v>#VALUE!</v>
      </c>
      <c r="L13" s="128" t="e">
        <f>IF($B$2="手动输入",IF($B$3="综合电价",L5,L12),VLOOKUP(地区辅助页!$E$1,IF($B$2="标准1",电价电量取值表!$A:$H,电价电量取值表!$Q:$X),IF(L15&gt;2030,8,L15-2025+3),FALSE))*IF(OR(基本参数!$B$2&lt;=COLUMN()-3,COLUMN()-3&lt;基本参数!$B$3),0,1)</f>
        <v>#VALUE!</v>
      </c>
      <c r="M13" s="128" t="e">
        <f>IF($B$2="手动输入",IF($B$3="综合电价",M5,M12),VLOOKUP(地区辅助页!$E$1,IF($B$2="标准1",电价电量取值表!$A:$H,电价电量取值表!$Q:$X),IF(M15&gt;2030,8,M15-2025+3),FALSE))*IF(OR(基本参数!$B$2&lt;=COLUMN()-3,COLUMN()-3&lt;基本参数!$B$3),0,1)</f>
        <v>#VALUE!</v>
      </c>
      <c r="N13" s="128" t="e">
        <f>IF($B$2="手动输入",IF($B$3="综合电价",N5,N12),VLOOKUP(地区辅助页!$E$1,IF($B$2="标准1",电价电量取值表!$A:$H,电价电量取值表!$Q:$X),IF(N15&gt;2030,8,N15-2025+3),FALSE))*IF(OR(基本参数!$B$2&lt;=COLUMN()-3,COLUMN()-3&lt;基本参数!$B$3),0,1)</f>
        <v>#VALUE!</v>
      </c>
      <c r="O13" s="128" t="e">
        <f>IF($B$2="手动输入",IF($B$3="综合电价",O5,O12),VLOOKUP(地区辅助页!$E$1,IF($B$2="标准1",电价电量取值表!$A:$H,电价电量取值表!$Q:$X),IF(O15&gt;2030,8,O15-2025+3),FALSE))*IF(OR(基本参数!$B$2&lt;=COLUMN()-3,COLUMN()-3&lt;基本参数!$B$3),0,1)</f>
        <v>#VALUE!</v>
      </c>
      <c r="P13" s="128" t="e">
        <f>IF($B$2="手动输入",IF($B$3="综合电价",P5,P12),VLOOKUP(地区辅助页!$E$1,IF($B$2="标准1",电价电量取值表!$A:$H,电价电量取值表!$Q:$X),IF(P15&gt;2030,8,P15-2025+3),FALSE))*IF(OR(基本参数!$B$2&lt;=COLUMN()-3,COLUMN()-3&lt;基本参数!$B$3),0,1)</f>
        <v>#VALUE!</v>
      </c>
      <c r="Q13" s="128" t="e">
        <f>IF($B$2="手动输入",IF($B$3="综合电价",Q5,Q12),VLOOKUP(地区辅助页!$E$1,IF($B$2="标准1",电价电量取值表!$A:$H,电价电量取值表!$Q:$X),IF(Q15&gt;2030,8,Q15-2025+3),FALSE))*IF(OR(基本参数!$B$2&lt;=COLUMN()-3,COLUMN()-3&lt;基本参数!$B$3),0,1)</f>
        <v>#VALUE!</v>
      </c>
      <c r="R13" s="128" t="e">
        <f>IF($B$2="手动输入",IF($B$3="综合电价",R5,R12),VLOOKUP(地区辅助页!$E$1,IF($B$2="标准1",电价电量取值表!$A:$H,电价电量取值表!$Q:$X),IF(R15&gt;2030,8,R15-2025+3),FALSE))*IF(OR(基本参数!$B$2&lt;=COLUMN()-3,COLUMN()-3&lt;基本参数!$B$3),0,1)</f>
        <v>#VALUE!</v>
      </c>
      <c r="S13" s="128" t="e">
        <f>IF($B$2="手动输入",IF($B$3="综合电价",S5,S12),VLOOKUP(地区辅助页!$E$1,IF($B$2="标准1",电价电量取值表!$A:$H,电价电量取值表!$Q:$X),IF(S15&gt;2030,8,S15-2025+3),FALSE))*IF(OR(基本参数!$B$2&lt;=COLUMN()-3,COLUMN()-3&lt;基本参数!$B$3),0,1)</f>
        <v>#VALUE!</v>
      </c>
      <c r="T13" s="128" t="e">
        <f>IF($B$2="手动输入",IF($B$3="综合电价",T5,T12),VLOOKUP(地区辅助页!$E$1,IF($B$2="标准1",电价电量取值表!$A:$H,电价电量取值表!$Q:$X),IF(T15&gt;2030,8,T15-2025+3),FALSE))*IF(OR(基本参数!$B$2&lt;=COLUMN()-3,COLUMN()-3&lt;基本参数!$B$3),0,1)</f>
        <v>#VALUE!</v>
      </c>
      <c r="U13" s="128" t="e">
        <f>IF($B$2="手动输入",IF($B$3="综合电价",U5,U12),VLOOKUP(地区辅助页!$E$1,IF($B$2="标准1",电价电量取值表!$A:$H,电价电量取值表!$Q:$X),IF(U15&gt;2030,8,U15-2025+3),FALSE))*IF(OR(基本参数!$B$2&lt;=COLUMN()-3,COLUMN()-3&lt;基本参数!$B$3),0,1)</f>
        <v>#VALUE!</v>
      </c>
      <c r="V13" s="128" t="e">
        <f>IF($B$2="手动输入",IF($B$3="综合电价",V5,V12),VLOOKUP(地区辅助页!$E$1,IF($B$2="标准1",电价电量取值表!$A:$H,电价电量取值表!$Q:$X),IF(V15&gt;2030,8,V15-2025+3),FALSE))*IF(OR(基本参数!$B$2&lt;=COLUMN()-3,COLUMN()-3&lt;基本参数!$B$3),0,1)</f>
        <v>#VALUE!</v>
      </c>
      <c r="W13" s="128" t="e">
        <f>IF($B$2="手动输入",IF($B$3="综合电价",W5,W12),VLOOKUP(地区辅助页!$E$1,IF($B$2="标准1",电价电量取值表!$A:$H,电价电量取值表!$Q:$X),IF(W15&gt;2030,8,W15-2025+3),FALSE))*IF(OR(基本参数!$B$2&lt;=COLUMN()-3,COLUMN()-3&lt;基本参数!$B$3),0,1)</f>
        <v>#VALUE!</v>
      </c>
      <c r="X13" s="128" t="e">
        <f>IF($B$2="手动输入",IF($B$3="综合电价",X5,X12),VLOOKUP(地区辅助页!$E$1,IF($B$2="标准1",电价电量取值表!$A:$H,电价电量取值表!$Q:$X),IF(X15&gt;2030,8,X15-2025+3),FALSE))*IF(OR(基本参数!$B$2&lt;=COLUMN()-3,COLUMN()-3&lt;基本参数!$B$3),0,1)</f>
        <v>#VALUE!</v>
      </c>
      <c r="Y13" s="128" t="e">
        <f>IF($B$2="手动输入",IF($B$3="综合电价",Y5,Y12),VLOOKUP(地区辅助页!$E$1,IF($B$2="标准1",电价电量取值表!$A:$H,电价电量取值表!$Q:$X),IF(Y15&gt;2030,8,Y15-2025+3),FALSE))*IF(OR(基本参数!$B$2&lt;=COLUMN()-3,COLUMN()-3&lt;基本参数!$B$3),0,1)</f>
        <v>#VALUE!</v>
      </c>
      <c r="Z13" s="128" t="e">
        <f>IF($B$2="手动输入",IF($B$3="综合电价",Z5,Z12),VLOOKUP(地区辅助页!$E$1,IF($B$2="标准1",电价电量取值表!$A:$H,电价电量取值表!$Q:$X),IF(Z15&gt;2030,8,Z15-2025+3),FALSE))*IF(OR(基本参数!$B$2&lt;=COLUMN()-3,COLUMN()-3&lt;基本参数!$B$3),0,1)</f>
        <v>#VALUE!</v>
      </c>
      <c r="AA13" s="128" t="e">
        <f>IF($B$2="手动输入",IF($B$3="综合电价",AA5,AA12),VLOOKUP(地区辅助页!$E$1,IF($B$2="标准1",电价电量取值表!$A:$H,电价电量取值表!$Q:$X),IF(AA15&gt;2030,8,AA15-2025+3),FALSE))*IF(OR(基本参数!$B$2&lt;=COLUMN()-3,COLUMN()-3&lt;基本参数!$B$3),0,1)</f>
        <v>#VALUE!</v>
      </c>
      <c r="AB13" s="128" t="e">
        <f>IF($B$2="手动输入",IF($B$3="综合电价",AB5,AB12),VLOOKUP(地区辅助页!$E$1,IF($B$2="标准1",电价电量取值表!$A:$H,电价电量取值表!$Q:$X),IF(AB15&gt;2030,8,AB15-2025+3),FALSE))*IF(OR(基本参数!$B$2&lt;=COLUMN()-3,COLUMN()-3&lt;基本参数!$B$3),0,1)</f>
        <v>#VALUE!</v>
      </c>
    </row>
    <row r="14" ht="15" customHeight="1" spans="1:28">
      <c r="A14" s="129" t="s">
        <v>461</v>
      </c>
      <c r="B14" s="130" t="s">
        <v>404</v>
      </c>
      <c r="C14" s="131"/>
      <c r="D14" s="131" t="e">
        <f>收入和税金!D10/基本参数!$B$7</f>
        <v>#VALUE!</v>
      </c>
      <c r="E14" s="131" t="e">
        <f>收入和税金!E10/基本参数!$B$7</f>
        <v>#VALUE!</v>
      </c>
      <c r="F14" s="131" t="e">
        <f>收入和税金!F10/基本参数!$B$7</f>
        <v>#VALUE!</v>
      </c>
      <c r="G14" s="131" t="e">
        <f>收入和税金!G10/基本参数!$B$7</f>
        <v>#VALUE!</v>
      </c>
      <c r="H14" s="131" t="e">
        <f>收入和税金!H10/基本参数!$B$7</f>
        <v>#VALUE!</v>
      </c>
      <c r="I14" s="131" t="e">
        <f>收入和税金!I10/基本参数!$B$7</f>
        <v>#VALUE!</v>
      </c>
      <c r="J14" s="131" t="e">
        <f>收入和税金!J10/基本参数!$B$7</f>
        <v>#VALUE!</v>
      </c>
      <c r="K14" s="131" t="e">
        <f>收入和税金!K10/基本参数!$B$7</f>
        <v>#VALUE!</v>
      </c>
      <c r="L14" s="131" t="e">
        <f>收入和税金!L10/基本参数!$B$7</f>
        <v>#VALUE!</v>
      </c>
      <c r="M14" s="131" t="e">
        <f>收入和税金!M10/基本参数!$B$7</f>
        <v>#VALUE!</v>
      </c>
      <c r="N14" s="131" t="e">
        <f>收入和税金!N10/基本参数!$B$7</f>
        <v>#VALUE!</v>
      </c>
      <c r="O14" s="131" t="e">
        <f>收入和税金!O10/基本参数!$B$7</f>
        <v>#VALUE!</v>
      </c>
      <c r="P14" s="131" t="e">
        <f>收入和税金!P10/基本参数!$B$7</f>
        <v>#VALUE!</v>
      </c>
      <c r="Q14" s="131" t="e">
        <f>收入和税金!Q10/基本参数!$B$7</f>
        <v>#VALUE!</v>
      </c>
      <c r="R14" s="131" t="e">
        <f>收入和税金!R10/基本参数!$B$7</f>
        <v>#VALUE!</v>
      </c>
      <c r="S14" s="131" t="e">
        <f>收入和税金!S10/基本参数!$B$7</f>
        <v>#VALUE!</v>
      </c>
      <c r="T14" s="131" t="e">
        <f>收入和税金!T10/基本参数!$B$7</f>
        <v>#VALUE!</v>
      </c>
      <c r="U14" s="131" t="e">
        <f>收入和税金!U10/基本参数!$B$7</f>
        <v>#VALUE!</v>
      </c>
      <c r="V14" s="131" t="e">
        <f>收入和税金!V10/基本参数!$B$7</f>
        <v>#VALUE!</v>
      </c>
      <c r="W14" s="131" t="e">
        <f>收入和税金!W10/基本参数!$B$7</f>
        <v>#VALUE!</v>
      </c>
      <c r="X14" s="131" t="e">
        <f>收入和税金!X10/基本参数!$B$7</f>
        <v>#VALUE!</v>
      </c>
      <c r="Y14" s="131" t="e">
        <f>收入和税金!Y10/基本参数!$B$7</f>
        <v>#VALUE!</v>
      </c>
      <c r="Z14" s="131" t="e">
        <f>收入和税金!Z10/基本参数!$B$7</f>
        <v>#VALUE!</v>
      </c>
      <c r="AA14" s="131" t="e">
        <f>收入和税金!AA10/基本参数!$B$7</f>
        <v>#VALUE!</v>
      </c>
      <c r="AB14" s="131" t="e">
        <f>收入和税金!AB10/基本参数!$B$7</f>
        <v>#VALUE!</v>
      </c>
    </row>
    <row r="15" ht="15" customHeight="1" spans="1:28">
      <c r="A15" s="129" t="s">
        <v>277</v>
      </c>
      <c r="B15" s="130"/>
      <c r="C15" s="131"/>
      <c r="D15" s="131">
        <f>基本参数!B8</f>
        <v>0</v>
      </c>
      <c r="E15" s="131">
        <f t="shared" ref="E15:AB15" si="1">D15+1</f>
        <v>1</v>
      </c>
      <c r="F15" s="131">
        <f t="shared" si="1"/>
        <v>2</v>
      </c>
      <c r="G15" s="131">
        <f t="shared" si="1"/>
        <v>3</v>
      </c>
      <c r="H15" s="131">
        <f t="shared" si="1"/>
        <v>4</v>
      </c>
      <c r="I15" s="131">
        <f t="shared" si="1"/>
        <v>5</v>
      </c>
      <c r="J15" s="131">
        <f t="shared" si="1"/>
        <v>6</v>
      </c>
      <c r="K15" s="131">
        <f t="shared" si="1"/>
        <v>7</v>
      </c>
      <c r="L15" s="131">
        <f t="shared" si="1"/>
        <v>8</v>
      </c>
      <c r="M15" s="131">
        <f t="shared" si="1"/>
        <v>9</v>
      </c>
      <c r="N15" s="131">
        <f t="shared" si="1"/>
        <v>10</v>
      </c>
      <c r="O15" s="131">
        <f t="shared" si="1"/>
        <v>11</v>
      </c>
      <c r="P15" s="131">
        <f t="shared" si="1"/>
        <v>12</v>
      </c>
      <c r="Q15" s="131">
        <f t="shared" si="1"/>
        <v>13</v>
      </c>
      <c r="R15" s="131">
        <f t="shared" si="1"/>
        <v>14</v>
      </c>
      <c r="S15" s="131">
        <f t="shared" si="1"/>
        <v>15</v>
      </c>
      <c r="T15" s="131">
        <f t="shared" si="1"/>
        <v>16</v>
      </c>
      <c r="U15" s="131">
        <f t="shared" si="1"/>
        <v>17</v>
      </c>
      <c r="V15" s="131">
        <f t="shared" si="1"/>
        <v>18</v>
      </c>
      <c r="W15" s="131">
        <f t="shared" si="1"/>
        <v>19</v>
      </c>
      <c r="X15" s="131">
        <f t="shared" si="1"/>
        <v>20</v>
      </c>
      <c r="Y15" s="131">
        <f t="shared" si="1"/>
        <v>21</v>
      </c>
      <c r="Z15" s="131">
        <f t="shared" si="1"/>
        <v>22</v>
      </c>
      <c r="AA15" s="131">
        <f t="shared" si="1"/>
        <v>23</v>
      </c>
      <c r="AB15" s="131">
        <f t="shared" si="1"/>
        <v>24</v>
      </c>
    </row>
    <row r="16" ht="15" customHeight="1" spans="1:28">
      <c r="A16" s="129" t="s">
        <v>462</v>
      </c>
      <c r="B16" s="130"/>
      <c r="C16" s="131"/>
      <c r="D16" s="131">
        <f t="shared" ref="D16:AB16" si="2">IF($B$7="占比（%）",D7,D7/D14*100)+IF($B$9="占比（%）",D9,D9/D14*100)+IF($B$11="占比（%）",D11,D11/D14*100)</f>
        <v>100</v>
      </c>
      <c r="E16" s="131">
        <f t="shared" si="2"/>
        <v>100</v>
      </c>
      <c r="F16" s="131">
        <f t="shared" si="2"/>
        <v>100</v>
      </c>
      <c r="G16" s="131">
        <f t="shared" si="2"/>
        <v>100</v>
      </c>
      <c r="H16" s="131">
        <f t="shared" si="2"/>
        <v>100</v>
      </c>
      <c r="I16" s="131">
        <f t="shared" si="2"/>
        <v>100</v>
      </c>
      <c r="J16" s="131">
        <f t="shared" si="2"/>
        <v>100</v>
      </c>
      <c r="K16" s="131">
        <f t="shared" si="2"/>
        <v>100</v>
      </c>
      <c r="L16" s="131">
        <f t="shared" si="2"/>
        <v>100</v>
      </c>
      <c r="M16" s="131">
        <f t="shared" si="2"/>
        <v>100</v>
      </c>
      <c r="N16" s="131">
        <f t="shared" si="2"/>
        <v>100</v>
      </c>
      <c r="O16" s="131">
        <f t="shared" si="2"/>
        <v>100</v>
      </c>
      <c r="P16" s="131">
        <f t="shared" si="2"/>
        <v>100</v>
      </c>
      <c r="Q16" s="131">
        <f t="shared" si="2"/>
        <v>100</v>
      </c>
      <c r="R16" s="131">
        <f t="shared" si="2"/>
        <v>100</v>
      </c>
      <c r="S16" s="131">
        <f t="shared" si="2"/>
        <v>100</v>
      </c>
      <c r="T16" s="131">
        <f t="shared" si="2"/>
        <v>100</v>
      </c>
      <c r="U16" s="131">
        <f t="shared" si="2"/>
        <v>100</v>
      </c>
      <c r="V16" s="131">
        <f t="shared" si="2"/>
        <v>100</v>
      </c>
      <c r="W16" s="131">
        <f t="shared" si="2"/>
        <v>100</v>
      </c>
      <c r="X16" s="131">
        <f t="shared" si="2"/>
        <v>100</v>
      </c>
      <c r="Y16" s="131">
        <f t="shared" si="2"/>
        <v>100</v>
      </c>
      <c r="Z16" s="131">
        <f t="shared" si="2"/>
        <v>100</v>
      </c>
      <c r="AA16" s="131">
        <f t="shared" si="2"/>
        <v>100</v>
      </c>
      <c r="AB16" s="131">
        <f t="shared" si="2"/>
        <v>100</v>
      </c>
    </row>
  </sheetData>
  <mergeCells count="7">
    <mergeCell ref="A1:C1"/>
    <mergeCell ref="B2:C2"/>
    <mergeCell ref="B3:C3"/>
    <mergeCell ref="A6:A7"/>
    <mergeCell ref="A8:A9"/>
    <mergeCell ref="A10:A11"/>
    <mergeCell ref="D1:AB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17"/>
  <sheetViews>
    <sheetView workbookViewId="0">
      <selection activeCell="A1" sqref="A1:E1"/>
    </sheetView>
  </sheetViews>
  <sheetFormatPr defaultColWidth="8.83333333333333" defaultRowHeight="13.5" outlineLevelCol="4"/>
  <cols>
    <col min="1" max="1" width="8.83333333333333" style="33" customWidth="1"/>
    <col min="2" max="2" width="24.8333333333333" style="33" customWidth="1"/>
    <col min="3" max="5" width="12.8333333333333" style="34" customWidth="1"/>
  </cols>
  <sheetData>
    <row r="1" ht="24" customHeight="1" spans="1:5">
      <c r="A1" s="101" t="s">
        <v>463</v>
      </c>
      <c r="B1" s="101"/>
      <c r="C1" s="101"/>
      <c r="D1" s="101"/>
      <c r="E1" s="101"/>
    </row>
    <row r="2" ht="15" customHeight="1" spans="1:5">
      <c r="A2" s="70" t="s">
        <v>464</v>
      </c>
      <c r="B2" s="70"/>
      <c r="C2" s="70"/>
      <c r="D2" s="70"/>
      <c r="E2" s="70"/>
    </row>
    <row r="3" ht="15" customHeight="1" spans="1:5">
      <c r="A3" s="102" t="s">
        <v>1</v>
      </c>
      <c r="B3" s="102" t="s">
        <v>2</v>
      </c>
      <c r="C3" s="64" t="s">
        <v>465</v>
      </c>
      <c r="D3" s="22" t="s">
        <v>466</v>
      </c>
      <c r="E3" s="20"/>
    </row>
    <row r="4" ht="15" customHeight="1" spans="1:5">
      <c r="A4" s="20"/>
      <c r="B4" s="20"/>
      <c r="C4" s="20"/>
      <c r="D4" s="22" t="s">
        <v>278</v>
      </c>
      <c r="E4" s="22" t="s">
        <v>279</v>
      </c>
    </row>
    <row r="5" ht="15" customHeight="1" spans="1:5">
      <c r="A5" s="68">
        <v>1</v>
      </c>
      <c r="B5" s="68" t="s">
        <v>467</v>
      </c>
      <c r="C5" s="51">
        <f t="shared" ref="C5:C17" si="0">SUM(D5:E5)</f>
        <v>0</v>
      </c>
      <c r="D5" s="51">
        <f>SUM(D6:D8)</f>
        <v>0</v>
      </c>
      <c r="E5" s="51">
        <f>SUM(E6:E8)</f>
        <v>0</v>
      </c>
    </row>
    <row r="6" ht="15" customHeight="1" spans="1:5">
      <c r="A6" s="68">
        <v>1.1</v>
      </c>
      <c r="B6" s="68" t="s">
        <v>468</v>
      </c>
      <c r="C6" s="51">
        <f t="shared" si="0"/>
        <v>0</v>
      </c>
      <c r="D6" s="51">
        <f>基本参数!B12</f>
        <v>0</v>
      </c>
      <c r="E6" s="51">
        <v>0</v>
      </c>
    </row>
    <row r="7" ht="15" customHeight="1" spans="1:5">
      <c r="A7" s="68">
        <v>1.2</v>
      </c>
      <c r="B7" s="68" t="s">
        <v>27</v>
      </c>
      <c r="C7" s="51">
        <f t="shared" si="0"/>
        <v>0</v>
      </c>
      <c r="D7" s="51">
        <f>基本参数!B20</f>
        <v>0</v>
      </c>
      <c r="E7" s="51">
        <v>0</v>
      </c>
    </row>
    <row r="8" ht="15" customHeight="1" spans="1:5">
      <c r="A8" s="68">
        <v>1.3</v>
      </c>
      <c r="B8" s="68" t="s">
        <v>314</v>
      </c>
      <c r="C8" s="51">
        <f t="shared" si="0"/>
        <v>0</v>
      </c>
      <c r="D8" s="51">
        <f>IF(COLUMN()-3=基本参数!$B$3+1,基本参数!$B$7/10*基本参数!$B$27,0)</f>
        <v>0</v>
      </c>
      <c r="E8" s="51">
        <f>IF(COLUMN()-3=基本参数!$B$3+1,基本参数!$B$7/10*基本参数!$B$27,0)</f>
        <v>0</v>
      </c>
    </row>
    <row r="9" ht="15" customHeight="1" spans="1:5">
      <c r="A9" s="68">
        <v>2</v>
      </c>
      <c r="B9" s="68" t="s">
        <v>469</v>
      </c>
      <c r="C9" s="51">
        <f t="shared" si="0"/>
        <v>0</v>
      </c>
      <c r="D9" s="51">
        <f>D10+D13</f>
        <v>0</v>
      </c>
      <c r="E9" s="51">
        <f>E10+E13</f>
        <v>0</v>
      </c>
    </row>
    <row r="10" ht="15" customHeight="1" spans="1:5">
      <c r="A10" s="68">
        <v>2.1</v>
      </c>
      <c r="B10" s="68" t="s">
        <v>470</v>
      </c>
      <c r="C10" s="51">
        <f t="shared" si="0"/>
        <v>0</v>
      </c>
      <c r="D10" s="51">
        <f>D11+D12</f>
        <v>0</v>
      </c>
      <c r="E10" s="51">
        <f>E11+E12</f>
        <v>0</v>
      </c>
    </row>
    <row r="11" ht="15" customHeight="1" spans="1:5">
      <c r="A11" s="68" t="s">
        <v>471</v>
      </c>
      <c r="B11" s="68" t="s">
        <v>472</v>
      </c>
      <c r="C11" s="51">
        <f t="shared" si="0"/>
        <v>0</v>
      </c>
      <c r="D11" s="51">
        <f>基本参数!$B$17%*(D5-D8)</f>
        <v>0</v>
      </c>
      <c r="E11" s="51">
        <f>基本参数!$B$17%*(E5-E8)</f>
        <v>0</v>
      </c>
    </row>
    <row r="12" ht="15" customHeight="1" spans="1:5">
      <c r="A12" s="68" t="s">
        <v>473</v>
      </c>
      <c r="B12" s="68" t="s">
        <v>474</v>
      </c>
      <c r="C12" s="51">
        <f t="shared" si="0"/>
        <v>0</v>
      </c>
      <c r="D12" s="51">
        <f>D8*基本参数!$B$28%</f>
        <v>0</v>
      </c>
      <c r="E12" s="51">
        <f>E8*基本参数!$B$28%</f>
        <v>0</v>
      </c>
    </row>
    <row r="13" ht="15" customHeight="1" spans="1:5">
      <c r="A13" s="68">
        <v>2.2</v>
      </c>
      <c r="B13" s="68" t="s">
        <v>475</v>
      </c>
      <c r="C13" s="51">
        <f t="shared" si="0"/>
        <v>0</v>
      </c>
      <c r="D13" s="51">
        <f>D14+D17</f>
        <v>0</v>
      </c>
      <c r="E13" s="51">
        <f>E14+E17</f>
        <v>0</v>
      </c>
    </row>
    <row r="14" ht="15" customHeight="1" spans="1:5">
      <c r="A14" s="68" t="s">
        <v>476</v>
      </c>
      <c r="B14" s="68" t="s">
        <v>321</v>
      </c>
      <c r="C14" s="51">
        <f t="shared" si="0"/>
        <v>0</v>
      </c>
      <c r="D14" s="51">
        <f>SUM(D15:D16)</f>
        <v>0</v>
      </c>
      <c r="E14" s="51">
        <f>SUM(E15:E16)</f>
        <v>0</v>
      </c>
    </row>
    <row r="15" ht="15" customHeight="1" spans="1:5">
      <c r="A15" s="68"/>
      <c r="B15" s="68" t="s">
        <v>477</v>
      </c>
      <c r="C15" s="51">
        <f t="shared" si="0"/>
        <v>0</v>
      </c>
      <c r="D15" s="51">
        <f>D6-D11</f>
        <v>0</v>
      </c>
      <c r="E15" s="51">
        <f>E6-E11</f>
        <v>0</v>
      </c>
    </row>
    <row r="16" ht="15" customHeight="1" spans="1:5">
      <c r="A16" s="68"/>
      <c r="B16" s="68" t="s">
        <v>27</v>
      </c>
      <c r="C16" s="51">
        <f t="shared" si="0"/>
        <v>0</v>
      </c>
      <c r="D16" s="51">
        <f>D7</f>
        <v>0</v>
      </c>
      <c r="E16" s="51">
        <f>E7</f>
        <v>0</v>
      </c>
    </row>
    <row r="17" ht="15" customHeight="1" spans="1:5">
      <c r="A17" s="68" t="s">
        <v>478</v>
      </c>
      <c r="B17" s="68" t="s">
        <v>479</v>
      </c>
      <c r="C17" s="51">
        <f t="shared" si="0"/>
        <v>0</v>
      </c>
      <c r="D17" s="51">
        <f>D8-D12</f>
        <v>0</v>
      </c>
      <c r="E17" s="51">
        <f>E8-E12</f>
        <v>0</v>
      </c>
    </row>
  </sheetData>
  <mergeCells count="6">
    <mergeCell ref="A1:E1"/>
    <mergeCell ref="A2:E2"/>
    <mergeCell ref="D3:E3"/>
    <mergeCell ref="A3:A4"/>
    <mergeCell ref="B3:B4"/>
    <mergeCell ref="C3:C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23"/>
  <sheetViews>
    <sheetView workbookViewId="0">
      <pane xSplit="3" topLeftCell="D1" activePane="topRight" state="frozen"/>
      <selection/>
      <selection pane="topRight" activeCell="A1" sqref="A1:AC1"/>
    </sheetView>
  </sheetViews>
  <sheetFormatPr defaultColWidth="8.83333333333333" defaultRowHeight="13.5"/>
  <cols>
    <col min="1" max="1" width="8.83333333333333" style="33" customWidth="1"/>
    <col min="2" max="2" width="24.8333333333333" style="14" customWidth="1"/>
    <col min="3" max="29" width="12.8333333333333" style="34" customWidth="1"/>
  </cols>
  <sheetData>
    <row r="1" ht="24" customHeight="1" spans="1:29">
      <c r="A1" s="16" t="s">
        <v>480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ht="15" customHeight="1" spans="1:29">
      <c r="A2" s="37" t="s">
        <v>464</v>
      </c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ht="15" customHeight="1" spans="1:29">
      <c r="A3" s="40" t="s">
        <v>1</v>
      </c>
      <c r="B3" s="41" t="s">
        <v>2</v>
      </c>
      <c r="C3" s="72" t="s">
        <v>465</v>
      </c>
      <c r="D3" s="42" t="s">
        <v>481</v>
      </c>
      <c r="E3" s="42" t="s">
        <v>482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ht="15" customHeight="1" spans="1:29">
      <c r="A4" s="73"/>
      <c r="B4" s="43"/>
      <c r="C4" s="42"/>
      <c r="D4" s="42" t="s">
        <v>278</v>
      </c>
      <c r="E4" s="111" t="s">
        <v>279</v>
      </c>
      <c r="F4" s="111" t="s">
        <v>280</v>
      </c>
      <c r="G4" s="111" t="s">
        <v>281</v>
      </c>
      <c r="H4" s="111" t="s">
        <v>282</v>
      </c>
      <c r="I4" s="111" t="s">
        <v>327</v>
      </c>
      <c r="J4" s="111" t="s">
        <v>328</v>
      </c>
      <c r="K4" s="111" t="s">
        <v>329</v>
      </c>
      <c r="L4" s="111" t="s">
        <v>330</v>
      </c>
      <c r="M4" s="111" t="s">
        <v>331</v>
      </c>
      <c r="N4" s="111" t="s">
        <v>332</v>
      </c>
      <c r="O4" s="111" t="s">
        <v>333</v>
      </c>
      <c r="P4" s="111" t="s">
        <v>334</v>
      </c>
      <c r="Q4" s="111" t="s">
        <v>335</v>
      </c>
      <c r="R4" s="111" t="s">
        <v>336</v>
      </c>
      <c r="S4" s="111" t="s">
        <v>337</v>
      </c>
      <c r="T4" s="111" t="s">
        <v>338</v>
      </c>
      <c r="U4" s="111" t="s">
        <v>339</v>
      </c>
      <c r="V4" s="111" t="s">
        <v>340</v>
      </c>
      <c r="W4" s="111" t="s">
        <v>341</v>
      </c>
      <c r="X4" s="111" t="s">
        <v>342</v>
      </c>
      <c r="Y4" s="111" t="s">
        <v>343</v>
      </c>
      <c r="Z4" s="111" t="s">
        <v>344</v>
      </c>
      <c r="AA4" s="111" t="s">
        <v>345</v>
      </c>
      <c r="AB4" s="111" t="s">
        <v>346</v>
      </c>
      <c r="AC4" s="111" t="s">
        <v>347</v>
      </c>
    </row>
    <row r="5" ht="15" customHeight="1" spans="1:29">
      <c r="A5" s="49">
        <v>1</v>
      </c>
      <c r="B5" s="53" t="s">
        <v>349</v>
      </c>
      <c r="C5" s="51">
        <f t="shared" ref="C5:C23" si="0">SUM(D5:AC5)</f>
        <v>0</v>
      </c>
      <c r="D5" s="51">
        <f>成本费用!C8</f>
        <v>0</v>
      </c>
      <c r="E5" s="51">
        <f>成本费用!D8</f>
        <v>0</v>
      </c>
      <c r="F5" s="51">
        <f>成本费用!E8</f>
        <v>0</v>
      </c>
      <c r="G5" s="51">
        <f>成本费用!F8</f>
        <v>0</v>
      </c>
      <c r="H5" s="51">
        <f>成本费用!G8</f>
        <v>0</v>
      </c>
      <c r="I5" s="51">
        <f>成本费用!H8</f>
        <v>0</v>
      </c>
      <c r="J5" s="51">
        <f>成本费用!I8</f>
        <v>0</v>
      </c>
      <c r="K5" s="51">
        <f>成本费用!J8</f>
        <v>0</v>
      </c>
      <c r="L5" s="51">
        <f>成本费用!K8</f>
        <v>0</v>
      </c>
      <c r="M5" s="51">
        <f>成本费用!L8</f>
        <v>0</v>
      </c>
      <c r="N5" s="51">
        <f>成本费用!M8</f>
        <v>0</v>
      </c>
      <c r="O5" s="51">
        <f>成本费用!N8</f>
        <v>0</v>
      </c>
      <c r="P5" s="51">
        <f>成本费用!O8</f>
        <v>0</v>
      </c>
      <c r="Q5" s="51">
        <f>成本费用!P8</f>
        <v>0</v>
      </c>
      <c r="R5" s="51">
        <f>成本费用!Q8</f>
        <v>0</v>
      </c>
      <c r="S5" s="51">
        <f>成本费用!R8</f>
        <v>0</v>
      </c>
      <c r="T5" s="51">
        <f>成本费用!S8</f>
        <v>0</v>
      </c>
      <c r="U5" s="51">
        <f>成本费用!T8</f>
        <v>0</v>
      </c>
      <c r="V5" s="51">
        <f>成本费用!U8</f>
        <v>0</v>
      </c>
      <c r="W5" s="51">
        <f>成本费用!V8</f>
        <v>0</v>
      </c>
      <c r="X5" s="51">
        <f>成本费用!W8</f>
        <v>0</v>
      </c>
      <c r="Y5" s="51">
        <f>成本费用!X8</f>
        <v>0</v>
      </c>
      <c r="Z5" s="51">
        <f>成本费用!Y8</f>
        <v>0</v>
      </c>
      <c r="AA5" s="51">
        <f>成本费用!Z8</f>
        <v>0</v>
      </c>
      <c r="AB5" s="51">
        <f>成本费用!AA8</f>
        <v>0</v>
      </c>
      <c r="AC5" s="51">
        <f>成本费用!AB8</f>
        <v>0</v>
      </c>
    </row>
    <row r="6" ht="15" customHeight="1" spans="1:29">
      <c r="A6" s="49">
        <v>2</v>
      </c>
      <c r="B6" s="53" t="s">
        <v>357</v>
      </c>
      <c r="C6" s="51" t="e">
        <f t="shared" si="0"/>
        <v>#REF!</v>
      </c>
      <c r="D6" s="51">
        <f>成本费用!C17</f>
        <v>0</v>
      </c>
      <c r="E6" s="51" t="e">
        <f>成本费用!D17</f>
        <v>#REF!</v>
      </c>
      <c r="F6" s="51" t="e">
        <f>成本费用!E17</f>
        <v>#REF!</v>
      </c>
      <c r="G6" s="51" t="e">
        <f>成本费用!F17</f>
        <v>#REF!</v>
      </c>
      <c r="H6" s="51" t="e">
        <f>成本费用!G17</f>
        <v>#REF!</v>
      </c>
      <c r="I6" s="51" t="e">
        <f>成本费用!H17</f>
        <v>#REF!</v>
      </c>
      <c r="J6" s="51" t="e">
        <f>成本费用!I17</f>
        <v>#REF!</v>
      </c>
      <c r="K6" s="51" t="e">
        <f>成本费用!J17</f>
        <v>#REF!</v>
      </c>
      <c r="L6" s="51" t="e">
        <f>成本费用!K17</f>
        <v>#REF!</v>
      </c>
      <c r="M6" s="51" t="e">
        <f>成本费用!L17</f>
        <v>#REF!</v>
      </c>
      <c r="N6" s="51" t="e">
        <f>成本费用!M17</f>
        <v>#REF!</v>
      </c>
      <c r="O6" s="51" t="e">
        <f>成本费用!N17</f>
        <v>#REF!</v>
      </c>
      <c r="P6" s="51" t="e">
        <f>成本费用!O17</f>
        <v>#REF!</v>
      </c>
      <c r="Q6" s="51" t="e">
        <f>成本费用!P17</f>
        <v>#REF!</v>
      </c>
      <c r="R6" s="51" t="e">
        <f>成本费用!Q17</f>
        <v>#REF!</v>
      </c>
      <c r="S6" s="51" t="e">
        <f>成本费用!R17</f>
        <v>#REF!</v>
      </c>
      <c r="T6" s="51" t="e">
        <f>成本费用!S17</f>
        <v>#REF!</v>
      </c>
      <c r="U6" s="51" t="e">
        <f>成本费用!T17</f>
        <v>#REF!</v>
      </c>
      <c r="V6" s="51" t="e">
        <f>成本费用!U17</f>
        <v>#REF!</v>
      </c>
      <c r="W6" s="51" t="e">
        <f>成本费用!V17</f>
        <v>#REF!</v>
      </c>
      <c r="X6" s="51" t="e">
        <f>成本费用!W17</f>
        <v>#REF!</v>
      </c>
      <c r="Y6" s="51" t="e">
        <f>成本费用!X17</f>
        <v>#REF!</v>
      </c>
      <c r="Z6" s="51" t="e">
        <f>成本费用!Y17</f>
        <v>#REF!</v>
      </c>
      <c r="AA6" s="51" t="e">
        <f>成本费用!Z17</f>
        <v>#REF!</v>
      </c>
      <c r="AB6" s="51" t="e">
        <f>成本费用!AA17</f>
        <v>#REF!</v>
      </c>
      <c r="AC6" s="51" t="e">
        <f>成本费用!AB17</f>
        <v>#REF!</v>
      </c>
    </row>
    <row r="7" ht="15" customHeight="1" spans="1:29">
      <c r="A7" s="49">
        <v>3</v>
      </c>
      <c r="B7" s="53" t="s">
        <v>483</v>
      </c>
      <c r="C7" s="51" t="e">
        <f t="shared" si="0"/>
        <v>#REF!</v>
      </c>
      <c r="D7" s="51">
        <f>成本费用!C25</f>
        <v>0</v>
      </c>
      <c r="E7" s="51" t="e">
        <f>成本费用!D25</f>
        <v>#REF!</v>
      </c>
      <c r="F7" s="51" t="e">
        <f>成本费用!E25</f>
        <v>#REF!</v>
      </c>
      <c r="G7" s="51" t="e">
        <f>成本费用!F25</f>
        <v>#REF!</v>
      </c>
      <c r="H7" s="51" t="e">
        <f>成本费用!G25</f>
        <v>#REF!</v>
      </c>
      <c r="I7" s="51" t="e">
        <f>成本费用!H25</f>
        <v>#REF!</v>
      </c>
      <c r="J7" s="51" t="e">
        <f>成本费用!I25</f>
        <v>#REF!</v>
      </c>
      <c r="K7" s="51" t="e">
        <f>成本费用!J25</f>
        <v>#REF!</v>
      </c>
      <c r="L7" s="51" t="e">
        <f>成本费用!K25</f>
        <v>#REF!</v>
      </c>
      <c r="M7" s="51" t="e">
        <f>成本费用!L25</f>
        <v>#REF!</v>
      </c>
      <c r="N7" s="51" t="e">
        <f>成本费用!M25</f>
        <v>#REF!</v>
      </c>
      <c r="O7" s="51" t="e">
        <f>成本费用!N25</f>
        <v>#REF!</v>
      </c>
      <c r="P7" s="51" t="e">
        <f>成本费用!O25</f>
        <v>#REF!</v>
      </c>
      <c r="Q7" s="51" t="e">
        <f>成本费用!P25</f>
        <v>#REF!</v>
      </c>
      <c r="R7" s="51" t="e">
        <f>成本费用!Q25</f>
        <v>#REF!</v>
      </c>
      <c r="S7" s="51" t="e">
        <f>成本费用!R25</f>
        <v>#REF!</v>
      </c>
      <c r="T7" s="51" t="e">
        <f>成本费用!S25</f>
        <v>#REF!</v>
      </c>
      <c r="U7" s="51" t="e">
        <f>成本费用!T25</f>
        <v>#REF!</v>
      </c>
      <c r="V7" s="51" t="e">
        <f>成本费用!U25</f>
        <v>#REF!</v>
      </c>
      <c r="W7" s="51" t="e">
        <f>成本费用!V25</f>
        <v>#REF!</v>
      </c>
      <c r="X7" s="51" t="e">
        <f>成本费用!W25</f>
        <v>#REF!</v>
      </c>
      <c r="Y7" s="51" t="e">
        <f>成本费用!X25</f>
        <v>#REF!</v>
      </c>
      <c r="Z7" s="51" t="e">
        <f>成本费用!Y25</f>
        <v>#REF!</v>
      </c>
      <c r="AA7" s="51" t="e">
        <f>成本费用!Z25</f>
        <v>#REF!</v>
      </c>
      <c r="AB7" s="51" t="e">
        <f>成本费用!AA25</f>
        <v>#REF!</v>
      </c>
      <c r="AC7" s="51" t="e">
        <f>成本费用!AB25</f>
        <v>#REF!</v>
      </c>
    </row>
    <row r="8" ht="15" customHeight="1" spans="1:29">
      <c r="A8" s="49">
        <v>4</v>
      </c>
      <c r="B8" s="53" t="s">
        <v>369</v>
      </c>
      <c r="C8" s="51" t="e">
        <f t="shared" si="0"/>
        <v>#REF!</v>
      </c>
      <c r="D8" s="51">
        <f>成本费用!C33</f>
        <v>0</v>
      </c>
      <c r="E8" s="51" t="e">
        <f>成本费用!D33</f>
        <v>#REF!</v>
      </c>
      <c r="F8" s="51" t="e">
        <f>成本费用!E33</f>
        <v>#REF!</v>
      </c>
      <c r="G8" s="51" t="e">
        <f>成本费用!F33</f>
        <v>#REF!</v>
      </c>
      <c r="H8" s="51" t="e">
        <f>成本费用!G33</f>
        <v>#REF!</v>
      </c>
      <c r="I8" s="51" t="e">
        <f>成本费用!H33</f>
        <v>#REF!</v>
      </c>
      <c r="J8" s="51" t="e">
        <f>成本费用!I33</f>
        <v>#REF!</v>
      </c>
      <c r="K8" s="51" t="e">
        <f>成本费用!J33</f>
        <v>#REF!</v>
      </c>
      <c r="L8" s="51" t="e">
        <f>成本费用!K33</f>
        <v>#REF!</v>
      </c>
      <c r="M8" s="51" t="e">
        <f>成本费用!L33</f>
        <v>#REF!</v>
      </c>
      <c r="N8" s="51" t="e">
        <f>成本费用!M33</f>
        <v>#REF!</v>
      </c>
      <c r="O8" s="51" t="e">
        <f>成本费用!N33</f>
        <v>#REF!</v>
      </c>
      <c r="P8" s="51" t="e">
        <f>成本费用!O33</f>
        <v>#REF!</v>
      </c>
      <c r="Q8" s="51" t="e">
        <f>成本费用!P33</f>
        <v>#REF!</v>
      </c>
      <c r="R8" s="51" t="e">
        <f>成本费用!Q33</f>
        <v>#REF!</v>
      </c>
      <c r="S8" s="51" t="e">
        <f>成本费用!R33</f>
        <v>#REF!</v>
      </c>
      <c r="T8" s="51" t="e">
        <f>成本费用!S33</f>
        <v>#REF!</v>
      </c>
      <c r="U8" s="51" t="e">
        <f>成本费用!T33</f>
        <v>#REF!</v>
      </c>
      <c r="V8" s="51" t="e">
        <f>成本费用!U33</f>
        <v>#REF!</v>
      </c>
      <c r="W8" s="51" t="e">
        <f>成本费用!V33</f>
        <v>#REF!</v>
      </c>
      <c r="X8" s="51" t="e">
        <f>成本费用!W33</f>
        <v>#REF!</v>
      </c>
      <c r="Y8" s="51" t="e">
        <f>成本费用!X33</f>
        <v>#REF!</v>
      </c>
      <c r="Z8" s="51" t="e">
        <f>成本费用!Y33</f>
        <v>#REF!</v>
      </c>
      <c r="AA8" s="51" t="e">
        <f>成本费用!Z33</f>
        <v>#REF!</v>
      </c>
      <c r="AB8" s="51" t="e">
        <f>成本费用!AA33</f>
        <v>#REF!</v>
      </c>
      <c r="AC8" s="51" t="e">
        <f>成本费用!AB33</f>
        <v>#REF!</v>
      </c>
    </row>
    <row r="9" ht="15" customHeight="1" spans="1:29">
      <c r="A9" s="49">
        <v>5</v>
      </c>
      <c r="B9" s="53" t="s">
        <v>183</v>
      </c>
      <c r="C9" s="51" t="e">
        <f t="shared" si="0"/>
        <v>#REF!</v>
      </c>
      <c r="D9" s="51">
        <f>成本费用!C40</f>
        <v>0</v>
      </c>
      <c r="E9" s="51" t="e">
        <f>成本费用!D40</f>
        <v>#REF!</v>
      </c>
      <c r="F9" s="51" t="e">
        <f>成本费用!E40</f>
        <v>#REF!</v>
      </c>
      <c r="G9" s="51" t="e">
        <f>成本费用!F40</f>
        <v>#REF!</v>
      </c>
      <c r="H9" s="51" t="e">
        <f>成本费用!G40</f>
        <v>#REF!</v>
      </c>
      <c r="I9" s="51" t="e">
        <f>成本费用!H40</f>
        <v>#REF!</v>
      </c>
      <c r="J9" s="51" t="e">
        <f>成本费用!I40</f>
        <v>#REF!</v>
      </c>
      <c r="K9" s="51" t="e">
        <f>成本费用!J40</f>
        <v>#REF!</v>
      </c>
      <c r="L9" s="51" t="e">
        <f>成本费用!K40</f>
        <v>#REF!</v>
      </c>
      <c r="M9" s="51" t="e">
        <f>成本费用!L40</f>
        <v>#REF!</v>
      </c>
      <c r="N9" s="51" t="e">
        <f>成本费用!M40</f>
        <v>#REF!</v>
      </c>
      <c r="O9" s="51" t="e">
        <f>成本费用!N40</f>
        <v>#REF!</v>
      </c>
      <c r="P9" s="51" t="e">
        <f>成本费用!O40</f>
        <v>#REF!</v>
      </c>
      <c r="Q9" s="51" t="e">
        <f>成本费用!P40</f>
        <v>#REF!</v>
      </c>
      <c r="R9" s="51" t="e">
        <f>成本费用!Q40</f>
        <v>#REF!</v>
      </c>
      <c r="S9" s="51" t="e">
        <f>成本费用!R40</f>
        <v>#REF!</v>
      </c>
      <c r="T9" s="51" t="e">
        <f>成本费用!S40</f>
        <v>#REF!</v>
      </c>
      <c r="U9" s="51" t="e">
        <f>成本费用!T40</f>
        <v>#REF!</v>
      </c>
      <c r="V9" s="51" t="e">
        <f>成本费用!U40</f>
        <v>#REF!</v>
      </c>
      <c r="W9" s="51" t="e">
        <f>成本费用!V40</f>
        <v>#REF!</v>
      </c>
      <c r="X9" s="51" t="e">
        <f>成本费用!W40</f>
        <v>#REF!</v>
      </c>
      <c r="Y9" s="51" t="e">
        <f>成本费用!X40</f>
        <v>#REF!</v>
      </c>
      <c r="Z9" s="51" t="e">
        <f>成本费用!Y40</f>
        <v>#REF!</v>
      </c>
      <c r="AA9" s="51" t="e">
        <f>成本费用!Z40</f>
        <v>#REF!</v>
      </c>
      <c r="AB9" s="51" t="e">
        <f>成本费用!AA40</f>
        <v>#REF!</v>
      </c>
      <c r="AC9" s="51" t="e">
        <f>成本费用!AB40</f>
        <v>#REF!</v>
      </c>
    </row>
    <row r="10" ht="15" customHeight="1" spans="1:29">
      <c r="A10" s="49">
        <v>6</v>
      </c>
      <c r="B10" s="53" t="s">
        <v>193</v>
      </c>
      <c r="C10" s="51" t="e">
        <f t="shared" si="0"/>
        <v>#DIV/0!</v>
      </c>
      <c r="D10" s="51">
        <f>成本费用!C47</f>
        <v>0</v>
      </c>
      <c r="E10" s="51" t="e">
        <f>成本费用!D47</f>
        <v>#DIV/0!</v>
      </c>
      <c r="F10" s="51" t="e">
        <f>成本费用!E47</f>
        <v>#DIV/0!</v>
      </c>
      <c r="G10" s="51" t="e">
        <f>成本费用!F47</f>
        <v>#DIV/0!</v>
      </c>
      <c r="H10" s="51" t="e">
        <f>成本费用!G47</f>
        <v>#DIV/0!</v>
      </c>
      <c r="I10" s="51" t="e">
        <f>成本费用!H47</f>
        <v>#DIV/0!</v>
      </c>
      <c r="J10" s="51" t="e">
        <f>成本费用!I47</f>
        <v>#DIV/0!</v>
      </c>
      <c r="K10" s="51" t="e">
        <f>成本费用!J47</f>
        <v>#DIV/0!</v>
      </c>
      <c r="L10" s="51" t="e">
        <f>成本费用!K47</f>
        <v>#DIV/0!</v>
      </c>
      <c r="M10" s="51" t="e">
        <f>成本费用!L47</f>
        <v>#DIV/0!</v>
      </c>
      <c r="N10" s="51" t="e">
        <f>成本费用!M47</f>
        <v>#DIV/0!</v>
      </c>
      <c r="O10" s="51" t="e">
        <f>成本费用!N47</f>
        <v>#DIV/0!</v>
      </c>
      <c r="P10" s="51" t="e">
        <f>成本费用!O47</f>
        <v>#DIV/0!</v>
      </c>
      <c r="Q10" s="51" t="e">
        <f>成本费用!P47</f>
        <v>#DIV/0!</v>
      </c>
      <c r="R10" s="51" t="e">
        <f>成本费用!Q47</f>
        <v>#DIV/0!</v>
      </c>
      <c r="S10" s="51" t="e">
        <f>成本费用!R47</f>
        <v>#DIV/0!</v>
      </c>
      <c r="T10" s="51" t="e">
        <f>成本费用!S47</f>
        <v>#DIV/0!</v>
      </c>
      <c r="U10" s="51" t="e">
        <f>成本费用!T47</f>
        <v>#DIV/0!</v>
      </c>
      <c r="V10" s="51" t="e">
        <f>成本费用!U47</f>
        <v>#DIV/0!</v>
      </c>
      <c r="W10" s="51" t="e">
        <f>成本费用!V47</f>
        <v>#DIV/0!</v>
      </c>
      <c r="X10" s="51" t="e">
        <f>成本费用!W47</f>
        <v>#DIV/0!</v>
      </c>
      <c r="Y10" s="51" t="e">
        <f>成本费用!X47</f>
        <v>#DIV/0!</v>
      </c>
      <c r="Z10" s="51" t="e">
        <f>成本费用!Y47</f>
        <v>#DIV/0!</v>
      </c>
      <c r="AA10" s="51" t="e">
        <f>成本费用!Z47</f>
        <v>#DIV/0!</v>
      </c>
      <c r="AB10" s="51" t="e">
        <f>成本费用!AA47</f>
        <v>#DIV/0!</v>
      </c>
      <c r="AC10" s="51" t="e">
        <f>成本费用!AB47</f>
        <v>#DIV/0!</v>
      </c>
    </row>
    <row r="11" ht="15" customHeight="1" spans="1:29">
      <c r="A11" s="49">
        <v>7</v>
      </c>
      <c r="B11" s="53" t="s">
        <v>376</v>
      </c>
      <c r="C11" s="51">
        <f t="shared" si="0"/>
        <v>0</v>
      </c>
      <c r="D11" s="51">
        <f>成本费用!C56</f>
        <v>0</v>
      </c>
      <c r="E11" s="51">
        <f>成本费用!D56</f>
        <v>0</v>
      </c>
      <c r="F11" s="51">
        <f>成本费用!E56</f>
        <v>0</v>
      </c>
      <c r="G11" s="51">
        <f>成本费用!F56</f>
        <v>0</v>
      </c>
      <c r="H11" s="51">
        <f>成本费用!G56</f>
        <v>0</v>
      </c>
      <c r="I11" s="51">
        <f>成本费用!H56</f>
        <v>0</v>
      </c>
      <c r="J11" s="51">
        <f>成本费用!I56</f>
        <v>0</v>
      </c>
      <c r="K11" s="51">
        <f>成本费用!J56</f>
        <v>0</v>
      </c>
      <c r="L11" s="51">
        <f>成本费用!K56</f>
        <v>0</v>
      </c>
      <c r="M11" s="51">
        <f>成本费用!L56</f>
        <v>0</v>
      </c>
      <c r="N11" s="51">
        <f>成本费用!M56</f>
        <v>0</v>
      </c>
      <c r="O11" s="51">
        <f>成本费用!N56</f>
        <v>0</v>
      </c>
      <c r="P11" s="51">
        <f>成本费用!O56</f>
        <v>0</v>
      </c>
      <c r="Q11" s="51">
        <f>成本费用!P56</f>
        <v>0</v>
      </c>
      <c r="R11" s="51">
        <f>成本费用!Q56</f>
        <v>0</v>
      </c>
      <c r="S11" s="51">
        <f>成本费用!R56</f>
        <v>0</v>
      </c>
      <c r="T11" s="51">
        <f>成本费用!S56</f>
        <v>0</v>
      </c>
      <c r="U11" s="51">
        <f>成本费用!T56</f>
        <v>0</v>
      </c>
      <c r="V11" s="51">
        <f>成本费用!U56</f>
        <v>0</v>
      </c>
      <c r="W11" s="51">
        <f>成本费用!V56</f>
        <v>0</v>
      </c>
      <c r="X11" s="51">
        <f>成本费用!W56</f>
        <v>0</v>
      </c>
      <c r="Y11" s="51">
        <f>成本费用!X56</f>
        <v>0</v>
      </c>
      <c r="Z11" s="51">
        <f>成本费用!Y56</f>
        <v>0</v>
      </c>
      <c r="AA11" s="51">
        <f>成本费用!Z56</f>
        <v>0</v>
      </c>
      <c r="AB11" s="51">
        <f>成本费用!AA56</f>
        <v>0</v>
      </c>
      <c r="AC11" s="51">
        <f>成本费用!AB56</f>
        <v>0</v>
      </c>
    </row>
    <row r="12" ht="15" customHeight="1" spans="1:29">
      <c r="A12" s="49">
        <v>8</v>
      </c>
      <c r="B12" s="24" t="s">
        <v>484</v>
      </c>
      <c r="C12" s="51" t="e">
        <f t="shared" si="0"/>
        <v>#VALUE!</v>
      </c>
      <c r="D12" s="51">
        <f>借款还本付息计划表!D13+借款还本付息计划表!D9+借款还本付息计划表!D19</f>
        <v>0</v>
      </c>
      <c r="E12" s="51">
        <f>借款还本付息计划表!E13+借款还本付息计划表!E9+借款还本付息计划表!E19</f>
        <v>0</v>
      </c>
      <c r="F12" s="51" t="e">
        <f>借款还本付息计划表!F13+借款还本付息计划表!F9+借款还本付息计划表!F19</f>
        <v>#VALUE!</v>
      </c>
      <c r="G12" s="51" t="e">
        <f>借款还本付息计划表!G13+借款还本付息计划表!G9+借款还本付息计划表!G19</f>
        <v>#VALUE!</v>
      </c>
      <c r="H12" s="51" t="e">
        <f>借款还本付息计划表!H13+借款还本付息计划表!H9+借款还本付息计划表!H19</f>
        <v>#VALUE!</v>
      </c>
      <c r="I12" s="51" t="e">
        <f>借款还本付息计划表!I13+借款还本付息计划表!I9+借款还本付息计划表!I19</f>
        <v>#VALUE!</v>
      </c>
      <c r="J12" s="51" t="e">
        <f>借款还本付息计划表!J13+借款还本付息计划表!J9+借款还本付息计划表!J19</f>
        <v>#VALUE!</v>
      </c>
      <c r="K12" s="51" t="e">
        <f>借款还本付息计划表!K13+借款还本付息计划表!K9+借款还本付息计划表!K19</f>
        <v>#VALUE!</v>
      </c>
      <c r="L12" s="51" t="e">
        <f>借款还本付息计划表!L13+借款还本付息计划表!L9+借款还本付息计划表!L19</f>
        <v>#VALUE!</v>
      </c>
      <c r="M12" s="51" t="e">
        <f>借款还本付息计划表!M13+借款还本付息计划表!M9+借款还本付息计划表!M19</f>
        <v>#VALUE!</v>
      </c>
      <c r="N12" s="51" t="e">
        <f>借款还本付息计划表!N13+借款还本付息计划表!N9+借款还本付息计划表!N19</f>
        <v>#VALUE!</v>
      </c>
      <c r="O12" s="51" t="e">
        <f>借款还本付息计划表!O13+借款还本付息计划表!O9+借款还本付息计划表!O19</f>
        <v>#VALUE!</v>
      </c>
      <c r="P12" s="51" t="e">
        <f>借款还本付息计划表!P13+借款还本付息计划表!P9+借款还本付息计划表!P19</f>
        <v>#VALUE!</v>
      </c>
      <c r="Q12" s="51" t="e">
        <f>借款还本付息计划表!Q13+借款还本付息计划表!Q9+借款还本付息计划表!Q19</f>
        <v>#VALUE!</v>
      </c>
      <c r="R12" s="51" t="e">
        <f>借款还本付息计划表!R13+借款还本付息计划表!R9+借款还本付息计划表!R19</f>
        <v>#VALUE!</v>
      </c>
      <c r="S12" s="51" t="e">
        <f>借款还本付息计划表!S13+借款还本付息计划表!S9+借款还本付息计划表!S19</f>
        <v>#VALUE!</v>
      </c>
      <c r="T12" s="51" t="e">
        <f>借款还本付息计划表!T13+借款还本付息计划表!T9+借款还本付息计划表!T19</f>
        <v>#VALUE!</v>
      </c>
      <c r="U12" s="51" t="e">
        <f>借款还本付息计划表!U13+借款还本付息计划表!U9+借款还本付息计划表!U19</f>
        <v>#VALUE!</v>
      </c>
      <c r="V12" s="51" t="e">
        <f>借款还本付息计划表!V13+借款还本付息计划表!V9+借款还本付息计划表!V19</f>
        <v>#VALUE!</v>
      </c>
      <c r="W12" s="51" t="e">
        <f>借款还本付息计划表!W13+借款还本付息计划表!W9+借款还本付息计划表!W19</f>
        <v>#VALUE!</v>
      </c>
      <c r="X12" s="51" t="e">
        <f>借款还本付息计划表!X13+借款还本付息计划表!X9+借款还本付息计划表!X19</f>
        <v>#VALUE!</v>
      </c>
      <c r="Y12" s="51" t="e">
        <f>借款还本付息计划表!Y13+借款还本付息计划表!Y9+借款还本付息计划表!Y19</f>
        <v>#VALUE!</v>
      </c>
      <c r="Z12" s="51" t="e">
        <f>借款还本付息计划表!Z13+借款还本付息计划表!Z9+借款还本付息计划表!Z19</f>
        <v>#VALUE!</v>
      </c>
      <c r="AA12" s="51" t="e">
        <f>借款还本付息计划表!AA13+借款还本付息计划表!AA9+借款还本付息计划表!AA19</f>
        <v>#VALUE!</v>
      </c>
      <c r="AB12" s="51" t="e">
        <f>借款还本付息计划表!AB13+借款还本付息计划表!AB9+借款还本付息计划表!AB19</f>
        <v>#VALUE!</v>
      </c>
      <c r="AC12" s="51" t="e">
        <f>借款还本付息计划表!AC13+借款还本付息计划表!AC9+借款还本付息计划表!AC19</f>
        <v>#VALUE!</v>
      </c>
    </row>
    <row r="13" ht="15" customHeight="1" spans="1:29">
      <c r="A13" s="49">
        <v>9</v>
      </c>
      <c r="B13" s="53" t="s">
        <v>189</v>
      </c>
      <c r="C13" s="51" t="e">
        <f t="shared" si="0"/>
        <v>#REF!</v>
      </c>
      <c r="D13" s="51">
        <f>成本费用!C66</f>
        <v>0</v>
      </c>
      <c r="E13" s="51" t="e">
        <f>成本费用!D66</f>
        <v>#REF!</v>
      </c>
      <c r="F13" s="51" t="e">
        <f>成本费用!E66</f>
        <v>#REF!</v>
      </c>
      <c r="G13" s="51" t="e">
        <f>成本费用!F66</f>
        <v>#REF!</v>
      </c>
      <c r="H13" s="51" t="e">
        <f>成本费用!G66</f>
        <v>#REF!</v>
      </c>
      <c r="I13" s="51" t="e">
        <f>成本费用!H66</f>
        <v>#REF!</v>
      </c>
      <c r="J13" s="51" t="e">
        <f>成本费用!I66</f>
        <v>#REF!</v>
      </c>
      <c r="K13" s="51" t="e">
        <f>成本费用!J66</f>
        <v>#REF!</v>
      </c>
      <c r="L13" s="51" t="e">
        <f>成本费用!K66</f>
        <v>#REF!</v>
      </c>
      <c r="M13" s="51" t="e">
        <f>成本费用!L66</f>
        <v>#REF!</v>
      </c>
      <c r="N13" s="51" t="e">
        <f>成本费用!M66</f>
        <v>#REF!</v>
      </c>
      <c r="O13" s="51" t="e">
        <f>成本费用!N66</f>
        <v>#REF!</v>
      </c>
      <c r="P13" s="51" t="e">
        <f>成本费用!O66</f>
        <v>#REF!</v>
      </c>
      <c r="Q13" s="51" t="e">
        <f>成本费用!P66</f>
        <v>#REF!</v>
      </c>
      <c r="R13" s="51" t="e">
        <f>成本费用!Q66</f>
        <v>#REF!</v>
      </c>
      <c r="S13" s="51" t="e">
        <f>成本费用!R66</f>
        <v>#REF!</v>
      </c>
      <c r="T13" s="51" t="e">
        <f>成本费用!S66</f>
        <v>#REF!</v>
      </c>
      <c r="U13" s="51" t="e">
        <f>成本费用!T66</f>
        <v>#REF!</v>
      </c>
      <c r="V13" s="51" t="e">
        <f>成本费用!U66</f>
        <v>#REF!</v>
      </c>
      <c r="W13" s="51" t="e">
        <f>成本费用!V66</f>
        <v>#REF!</v>
      </c>
      <c r="X13" s="51" t="e">
        <f>成本费用!W66</f>
        <v>#REF!</v>
      </c>
      <c r="Y13" s="51" t="e">
        <f>成本费用!X66</f>
        <v>#REF!</v>
      </c>
      <c r="Z13" s="51" t="e">
        <f>成本费用!Y66</f>
        <v>#REF!</v>
      </c>
      <c r="AA13" s="51" t="e">
        <f>成本费用!Z66</f>
        <v>#REF!</v>
      </c>
      <c r="AB13" s="51" t="e">
        <f>成本费用!AA66</f>
        <v>#REF!</v>
      </c>
      <c r="AC13" s="51" t="e">
        <f>成本费用!AB66</f>
        <v>#REF!</v>
      </c>
    </row>
    <row r="14" ht="15" customHeight="1" spans="1:29">
      <c r="A14" s="112">
        <v>9.1</v>
      </c>
      <c r="B14" s="53" t="s">
        <v>189</v>
      </c>
      <c r="C14" s="51" t="e">
        <f t="shared" si="0"/>
        <v>#REF!</v>
      </c>
      <c r="D14" s="51">
        <f>成本费用!C60</f>
        <v>0</v>
      </c>
      <c r="E14" s="51" t="e">
        <f>成本费用!D60</f>
        <v>#REF!</v>
      </c>
      <c r="F14" s="51" t="e">
        <f>成本费用!E60</f>
        <v>#REF!</v>
      </c>
      <c r="G14" s="51" t="e">
        <f>成本费用!F60</f>
        <v>#REF!</v>
      </c>
      <c r="H14" s="51" t="e">
        <f>成本费用!G60</f>
        <v>#REF!</v>
      </c>
      <c r="I14" s="51" t="e">
        <f>成本费用!H60</f>
        <v>#REF!</v>
      </c>
      <c r="J14" s="51" t="e">
        <f>成本费用!I60</f>
        <v>#REF!</v>
      </c>
      <c r="K14" s="51" t="e">
        <f>成本费用!J60</f>
        <v>#REF!</v>
      </c>
      <c r="L14" s="51" t="e">
        <f>成本费用!K60</f>
        <v>#REF!</v>
      </c>
      <c r="M14" s="51" t="e">
        <f>成本费用!L60</f>
        <v>#REF!</v>
      </c>
      <c r="N14" s="51" t="e">
        <f>成本费用!M60</f>
        <v>#REF!</v>
      </c>
      <c r="O14" s="51" t="e">
        <f>成本费用!N60</f>
        <v>#REF!</v>
      </c>
      <c r="P14" s="51" t="e">
        <f>成本费用!O60</f>
        <v>#REF!</v>
      </c>
      <c r="Q14" s="51" t="e">
        <f>成本费用!P60</f>
        <v>#REF!</v>
      </c>
      <c r="R14" s="51" t="e">
        <f>成本费用!Q60</f>
        <v>#REF!</v>
      </c>
      <c r="S14" s="51" t="e">
        <f>成本费用!R60</f>
        <v>#REF!</v>
      </c>
      <c r="T14" s="51" t="e">
        <f>成本费用!S60</f>
        <v>#REF!</v>
      </c>
      <c r="U14" s="51" t="e">
        <f>成本费用!T60</f>
        <v>#REF!</v>
      </c>
      <c r="V14" s="51" t="e">
        <f>成本费用!U60</f>
        <v>#REF!</v>
      </c>
      <c r="W14" s="51" t="e">
        <f>成本费用!V60</f>
        <v>#REF!</v>
      </c>
      <c r="X14" s="51" t="e">
        <f>成本费用!W60</f>
        <v>#REF!</v>
      </c>
      <c r="Y14" s="51" t="e">
        <f>成本费用!X60</f>
        <v>#REF!</v>
      </c>
      <c r="Z14" s="51" t="e">
        <f>成本费用!Y60</f>
        <v>#REF!</v>
      </c>
      <c r="AA14" s="51" t="e">
        <f>成本费用!Z60</f>
        <v>#REF!</v>
      </c>
      <c r="AB14" s="51" t="e">
        <f>成本费用!AA60</f>
        <v>#REF!</v>
      </c>
      <c r="AC14" s="51" t="e">
        <f>成本费用!AB60</f>
        <v>#REF!</v>
      </c>
    </row>
    <row r="15" ht="15" customHeight="1" spans="1:29">
      <c r="A15" s="112">
        <v>9.2</v>
      </c>
      <c r="B15" s="53" t="str">
        <f>成本费用!A61</f>
        <v>其他费用1</v>
      </c>
      <c r="C15" s="51">
        <f t="shared" si="0"/>
        <v>0</v>
      </c>
      <c r="D15" s="51">
        <f>成本费用!C61</f>
        <v>0</v>
      </c>
      <c r="E15" s="51">
        <f>成本费用!D61</f>
        <v>0</v>
      </c>
      <c r="F15" s="51">
        <f>成本费用!E61</f>
        <v>0</v>
      </c>
      <c r="G15" s="51">
        <f>成本费用!F61</f>
        <v>0</v>
      </c>
      <c r="H15" s="51">
        <f>成本费用!G61</f>
        <v>0</v>
      </c>
      <c r="I15" s="51">
        <f>成本费用!H61</f>
        <v>0</v>
      </c>
      <c r="J15" s="51">
        <f>成本费用!I61</f>
        <v>0</v>
      </c>
      <c r="K15" s="51">
        <f>成本费用!J61</f>
        <v>0</v>
      </c>
      <c r="L15" s="51">
        <f>成本费用!K61</f>
        <v>0</v>
      </c>
      <c r="M15" s="51">
        <f>成本费用!L61</f>
        <v>0</v>
      </c>
      <c r="N15" s="51">
        <f>成本费用!M61</f>
        <v>0</v>
      </c>
      <c r="O15" s="51">
        <f>成本费用!N61</f>
        <v>0</v>
      </c>
      <c r="P15" s="51">
        <f>成本费用!O61</f>
        <v>0</v>
      </c>
      <c r="Q15" s="51">
        <f>成本费用!P61</f>
        <v>0</v>
      </c>
      <c r="R15" s="51">
        <f>成本费用!Q61</f>
        <v>0</v>
      </c>
      <c r="S15" s="51">
        <f>成本费用!R61</f>
        <v>0</v>
      </c>
      <c r="T15" s="51">
        <f>成本费用!S61</f>
        <v>0</v>
      </c>
      <c r="U15" s="51">
        <f>成本费用!T61</f>
        <v>0</v>
      </c>
      <c r="V15" s="51">
        <f>成本费用!U61</f>
        <v>0</v>
      </c>
      <c r="W15" s="51">
        <f>成本费用!V61</f>
        <v>0</v>
      </c>
      <c r="X15" s="51">
        <f>成本费用!W61</f>
        <v>0</v>
      </c>
      <c r="Y15" s="51">
        <f>成本费用!X61</f>
        <v>0</v>
      </c>
      <c r="Z15" s="51">
        <f>成本费用!Y61</f>
        <v>0</v>
      </c>
      <c r="AA15" s="51">
        <f>成本费用!Z61</f>
        <v>0</v>
      </c>
      <c r="AB15" s="51">
        <f>成本费用!AA61</f>
        <v>0</v>
      </c>
      <c r="AC15" s="51">
        <f>成本费用!AB61</f>
        <v>0</v>
      </c>
    </row>
    <row r="16" ht="15" customHeight="1" spans="1:29">
      <c r="A16" s="112">
        <v>9.3</v>
      </c>
      <c r="B16" s="53" t="str">
        <f>成本费用!A62</f>
        <v>其他费用2</v>
      </c>
      <c r="C16" s="51">
        <f t="shared" si="0"/>
        <v>0</v>
      </c>
      <c r="D16" s="51">
        <f>成本费用!C62</f>
        <v>0</v>
      </c>
      <c r="E16" s="51">
        <f>成本费用!D62</f>
        <v>0</v>
      </c>
      <c r="F16" s="51">
        <f>成本费用!E62</f>
        <v>0</v>
      </c>
      <c r="G16" s="51">
        <f>成本费用!F62</f>
        <v>0</v>
      </c>
      <c r="H16" s="51">
        <f>成本费用!G62</f>
        <v>0</v>
      </c>
      <c r="I16" s="51">
        <f>成本费用!H62</f>
        <v>0</v>
      </c>
      <c r="J16" s="51">
        <f>成本费用!I62</f>
        <v>0</v>
      </c>
      <c r="K16" s="51">
        <f>成本费用!J62</f>
        <v>0</v>
      </c>
      <c r="L16" s="51">
        <f>成本费用!K62</f>
        <v>0</v>
      </c>
      <c r="M16" s="51">
        <f>成本费用!L62</f>
        <v>0</v>
      </c>
      <c r="N16" s="51">
        <f>成本费用!M62</f>
        <v>0</v>
      </c>
      <c r="O16" s="51">
        <f>成本费用!N62</f>
        <v>0</v>
      </c>
      <c r="P16" s="51">
        <f>成本费用!O62</f>
        <v>0</v>
      </c>
      <c r="Q16" s="51">
        <f>成本费用!P62</f>
        <v>0</v>
      </c>
      <c r="R16" s="51">
        <f>成本费用!Q62</f>
        <v>0</v>
      </c>
      <c r="S16" s="51">
        <f>成本费用!R62</f>
        <v>0</v>
      </c>
      <c r="T16" s="51">
        <f>成本费用!S62</f>
        <v>0</v>
      </c>
      <c r="U16" s="51">
        <f>成本费用!T62</f>
        <v>0</v>
      </c>
      <c r="V16" s="51">
        <f>成本费用!U62</f>
        <v>0</v>
      </c>
      <c r="W16" s="51">
        <f>成本费用!V62</f>
        <v>0</v>
      </c>
      <c r="X16" s="51">
        <f>成本费用!W62</f>
        <v>0</v>
      </c>
      <c r="Y16" s="51">
        <f>成本费用!X62</f>
        <v>0</v>
      </c>
      <c r="Z16" s="51">
        <f>成本费用!Y62</f>
        <v>0</v>
      </c>
      <c r="AA16" s="51">
        <f>成本费用!Z62</f>
        <v>0</v>
      </c>
      <c r="AB16" s="51">
        <f>成本费用!AA62</f>
        <v>0</v>
      </c>
      <c r="AC16" s="51">
        <f>成本费用!AB62</f>
        <v>0</v>
      </c>
    </row>
    <row r="17" ht="15" customHeight="1" spans="1:29">
      <c r="A17" s="112">
        <v>9.4</v>
      </c>
      <c r="B17" s="53" t="str">
        <f>成本费用!A63</f>
        <v>其他费用3</v>
      </c>
      <c r="C17" s="51">
        <f t="shared" si="0"/>
        <v>0</v>
      </c>
      <c r="D17" s="51">
        <f>成本费用!C63</f>
        <v>0</v>
      </c>
      <c r="E17" s="51">
        <f>成本费用!D63</f>
        <v>0</v>
      </c>
      <c r="F17" s="51">
        <f>成本费用!E63</f>
        <v>0</v>
      </c>
      <c r="G17" s="51">
        <f>成本费用!F63</f>
        <v>0</v>
      </c>
      <c r="H17" s="51">
        <f>成本费用!G63</f>
        <v>0</v>
      </c>
      <c r="I17" s="51">
        <f>成本费用!H63</f>
        <v>0</v>
      </c>
      <c r="J17" s="51">
        <f>成本费用!I63</f>
        <v>0</v>
      </c>
      <c r="K17" s="51">
        <f>成本费用!J63</f>
        <v>0</v>
      </c>
      <c r="L17" s="51">
        <f>成本费用!K63</f>
        <v>0</v>
      </c>
      <c r="M17" s="51">
        <f>成本费用!L63</f>
        <v>0</v>
      </c>
      <c r="N17" s="51">
        <f>成本费用!M63</f>
        <v>0</v>
      </c>
      <c r="O17" s="51">
        <f>成本费用!N63</f>
        <v>0</v>
      </c>
      <c r="P17" s="51">
        <f>成本费用!O63</f>
        <v>0</v>
      </c>
      <c r="Q17" s="51">
        <f>成本费用!P63</f>
        <v>0</v>
      </c>
      <c r="R17" s="51">
        <f>成本费用!Q63</f>
        <v>0</v>
      </c>
      <c r="S17" s="51">
        <f>成本费用!R63</f>
        <v>0</v>
      </c>
      <c r="T17" s="51">
        <f>成本费用!S63</f>
        <v>0</v>
      </c>
      <c r="U17" s="51">
        <f>成本费用!T63</f>
        <v>0</v>
      </c>
      <c r="V17" s="51">
        <f>成本费用!U63</f>
        <v>0</v>
      </c>
      <c r="W17" s="51">
        <f>成本费用!V63</f>
        <v>0</v>
      </c>
      <c r="X17" s="51">
        <f>成本费用!W63</f>
        <v>0</v>
      </c>
      <c r="Y17" s="51">
        <f>成本费用!X63</f>
        <v>0</v>
      </c>
      <c r="Z17" s="51">
        <f>成本费用!Y63</f>
        <v>0</v>
      </c>
      <c r="AA17" s="51">
        <f>成本费用!Z63</f>
        <v>0</v>
      </c>
      <c r="AB17" s="51">
        <f>成本费用!AA63</f>
        <v>0</v>
      </c>
      <c r="AC17" s="51">
        <f>成本费用!AB63</f>
        <v>0</v>
      </c>
    </row>
    <row r="18" ht="15" customHeight="1" spans="1:29">
      <c r="A18" s="112">
        <v>9.5</v>
      </c>
      <c r="B18" s="53" t="s">
        <v>380</v>
      </c>
      <c r="C18" s="51">
        <f t="shared" si="0"/>
        <v>0</v>
      </c>
      <c r="D18" s="51">
        <f>成本费用!C64</f>
        <v>0</v>
      </c>
      <c r="E18" s="51">
        <f>成本费用!D64</f>
        <v>0</v>
      </c>
      <c r="F18" s="51">
        <f>成本费用!E64</f>
        <v>0</v>
      </c>
      <c r="G18" s="51">
        <f>成本费用!F64</f>
        <v>0</v>
      </c>
      <c r="H18" s="51">
        <f>成本费用!G64</f>
        <v>0</v>
      </c>
      <c r="I18" s="51">
        <f>成本费用!H64</f>
        <v>0</v>
      </c>
      <c r="J18" s="51">
        <f>成本费用!I64</f>
        <v>0</v>
      </c>
      <c r="K18" s="51">
        <f>成本费用!J64</f>
        <v>0</v>
      </c>
      <c r="L18" s="51">
        <f>成本费用!K64</f>
        <v>0</v>
      </c>
      <c r="M18" s="51">
        <f>成本费用!L64</f>
        <v>0</v>
      </c>
      <c r="N18" s="51">
        <f>成本费用!M64</f>
        <v>0</v>
      </c>
      <c r="O18" s="51">
        <f>成本费用!N64</f>
        <v>0</v>
      </c>
      <c r="P18" s="51">
        <f>成本费用!O64</f>
        <v>0</v>
      </c>
      <c r="Q18" s="51">
        <f>成本费用!P64</f>
        <v>0</v>
      </c>
      <c r="R18" s="51">
        <f>成本费用!Q64</f>
        <v>0</v>
      </c>
      <c r="S18" s="51">
        <f>成本费用!R64</f>
        <v>0</v>
      </c>
      <c r="T18" s="51">
        <f>成本费用!S64</f>
        <v>0</v>
      </c>
      <c r="U18" s="51">
        <f>成本费用!T64</f>
        <v>0</v>
      </c>
      <c r="V18" s="51">
        <f>成本费用!U64</f>
        <v>0</v>
      </c>
      <c r="W18" s="51">
        <f>成本费用!V64</f>
        <v>0</v>
      </c>
      <c r="X18" s="51">
        <f>成本费用!W64</f>
        <v>0</v>
      </c>
      <c r="Y18" s="51">
        <f>成本费用!X64</f>
        <v>0</v>
      </c>
      <c r="Z18" s="51">
        <f>成本费用!Y64</f>
        <v>0</v>
      </c>
      <c r="AA18" s="51">
        <f>成本费用!Z64</f>
        <v>0</v>
      </c>
      <c r="AB18" s="51">
        <f>成本费用!AA64</f>
        <v>0</v>
      </c>
      <c r="AC18" s="51">
        <f>成本费用!AB64</f>
        <v>0</v>
      </c>
    </row>
    <row r="19" ht="15" customHeight="1" spans="1:29">
      <c r="A19" s="112">
        <v>9.6</v>
      </c>
      <c r="B19" s="53" t="s">
        <v>381</v>
      </c>
      <c r="C19" s="51">
        <f t="shared" si="0"/>
        <v>0</v>
      </c>
      <c r="D19" s="51">
        <f>成本费用!C65</f>
        <v>0</v>
      </c>
      <c r="E19" s="51">
        <f>成本费用!D65</f>
        <v>0</v>
      </c>
      <c r="F19" s="51">
        <f>成本费用!E65</f>
        <v>0</v>
      </c>
      <c r="G19" s="51">
        <f>成本费用!F65</f>
        <v>0</v>
      </c>
      <c r="H19" s="51">
        <f>成本费用!G65</f>
        <v>0</v>
      </c>
      <c r="I19" s="51">
        <f>成本费用!H65</f>
        <v>0</v>
      </c>
      <c r="J19" s="51">
        <f>成本费用!I65</f>
        <v>0</v>
      </c>
      <c r="K19" s="51">
        <f>成本费用!J65</f>
        <v>0</v>
      </c>
      <c r="L19" s="51">
        <f>成本费用!K65</f>
        <v>0</v>
      </c>
      <c r="M19" s="51">
        <f>成本费用!L65</f>
        <v>0</v>
      </c>
      <c r="N19" s="51">
        <f>成本费用!M65</f>
        <v>0</v>
      </c>
      <c r="O19" s="51">
        <f>成本费用!N65</f>
        <v>0</v>
      </c>
      <c r="P19" s="51">
        <f>成本费用!O65</f>
        <v>0</v>
      </c>
      <c r="Q19" s="51">
        <f>成本费用!P65</f>
        <v>0</v>
      </c>
      <c r="R19" s="51">
        <f>成本费用!Q65</f>
        <v>0</v>
      </c>
      <c r="S19" s="51">
        <f>成本费用!R65</f>
        <v>0</v>
      </c>
      <c r="T19" s="51">
        <f>成本费用!S65</f>
        <v>0</v>
      </c>
      <c r="U19" s="51">
        <f>成本费用!T65</f>
        <v>0</v>
      </c>
      <c r="V19" s="51">
        <f>成本费用!U65</f>
        <v>0</v>
      </c>
      <c r="W19" s="51">
        <f>成本费用!V65</f>
        <v>0</v>
      </c>
      <c r="X19" s="51">
        <f>成本费用!W65</f>
        <v>0</v>
      </c>
      <c r="Y19" s="51">
        <f>成本费用!X65</f>
        <v>0</v>
      </c>
      <c r="Z19" s="51">
        <f>成本费用!Y65</f>
        <v>0</v>
      </c>
      <c r="AA19" s="51">
        <f>成本费用!Z65</f>
        <v>0</v>
      </c>
      <c r="AB19" s="51">
        <f>成本费用!AA65</f>
        <v>0</v>
      </c>
      <c r="AC19" s="51">
        <f>成本费用!AB65</f>
        <v>0</v>
      </c>
    </row>
    <row r="20" ht="15" customHeight="1" spans="1:29">
      <c r="A20" s="49">
        <v>10</v>
      </c>
      <c r="B20" s="53" t="s">
        <v>485</v>
      </c>
      <c r="C20" s="51" t="e">
        <f t="shared" si="0"/>
        <v>#REF!</v>
      </c>
      <c r="D20" s="51">
        <f t="shared" ref="D20:AC20" si="1">D21+D5+D11+D12</f>
        <v>0</v>
      </c>
      <c r="E20" s="51" t="e">
        <f t="shared" si="1"/>
        <v>#REF!</v>
      </c>
      <c r="F20" s="51" t="e">
        <f t="shared" si="1"/>
        <v>#REF!</v>
      </c>
      <c r="G20" s="51" t="e">
        <f t="shared" si="1"/>
        <v>#REF!</v>
      </c>
      <c r="H20" s="51" t="e">
        <f t="shared" si="1"/>
        <v>#REF!</v>
      </c>
      <c r="I20" s="51" t="e">
        <f t="shared" si="1"/>
        <v>#REF!</v>
      </c>
      <c r="J20" s="51" t="e">
        <f t="shared" si="1"/>
        <v>#REF!</v>
      </c>
      <c r="K20" s="51" t="e">
        <f t="shared" si="1"/>
        <v>#REF!</v>
      </c>
      <c r="L20" s="51" t="e">
        <f t="shared" si="1"/>
        <v>#REF!</v>
      </c>
      <c r="M20" s="51" t="e">
        <f t="shared" si="1"/>
        <v>#REF!</v>
      </c>
      <c r="N20" s="51" t="e">
        <f t="shared" si="1"/>
        <v>#REF!</v>
      </c>
      <c r="O20" s="51" t="e">
        <f t="shared" si="1"/>
        <v>#REF!</v>
      </c>
      <c r="P20" s="51" t="e">
        <f t="shared" si="1"/>
        <v>#REF!</v>
      </c>
      <c r="Q20" s="51" t="e">
        <f t="shared" si="1"/>
        <v>#REF!</v>
      </c>
      <c r="R20" s="51" t="e">
        <f t="shared" si="1"/>
        <v>#REF!</v>
      </c>
      <c r="S20" s="51" t="e">
        <f t="shared" si="1"/>
        <v>#REF!</v>
      </c>
      <c r="T20" s="51" t="e">
        <f t="shared" si="1"/>
        <v>#REF!</v>
      </c>
      <c r="U20" s="51" t="e">
        <f t="shared" si="1"/>
        <v>#REF!</v>
      </c>
      <c r="V20" s="51" t="e">
        <f t="shared" si="1"/>
        <v>#REF!</v>
      </c>
      <c r="W20" s="51" t="e">
        <f t="shared" si="1"/>
        <v>#REF!</v>
      </c>
      <c r="X20" s="51" t="e">
        <f t="shared" si="1"/>
        <v>#REF!</v>
      </c>
      <c r="Y20" s="51" t="e">
        <f t="shared" si="1"/>
        <v>#REF!</v>
      </c>
      <c r="Z20" s="51" t="e">
        <f t="shared" si="1"/>
        <v>#REF!</v>
      </c>
      <c r="AA20" s="51" t="e">
        <f t="shared" si="1"/>
        <v>#REF!</v>
      </c>
      <c r="AB20" s="51" t="e">
        <f t="shared" si="1"/>
        <v>#REF!</v>
      </c>
      <c r="AC20" s="51" t="e">
        <f t="shared" si="1"/>
        <v>#REF!</v>
      </c>
    </row>
    <row r="21" ht="15" customHeight="1" spans="1:29">
      <c r="A21" s="49">
        <v>11</v>
      </c>
      <c r="B21" s="24" t="s">
        <v>486</v>
      </c>
      <c r="C21" s="51" t="e">
        <f t="shared" si="0"/>
        <v>#REF!</v>
      </c>
      <c r="D21" s="51">
        <f t="shared" ref="D21:AC21" si="2">D6+D7+D8+D9+D10+D13</f>
        <v>0</v>
      </c>
      <c r="E21" s="51" t="e">
        <f t="shared" si="2"/>
        <v>#REF!</v>
      </c>
      <c r="F21" s="51" t="e">
        <f t="shared" si="2"/>
        <v>#REF!</v>
      </c>
      <c r="G21" s="51" t="e">
        <f t="shared" si="2"/>
        <v>#REF!</v>
      </c>
      <c r="H21" s="51" t="e">
        <f t="shared" si="2"/>
        <v>#REF!</v>
      </c>
      <c r="I21" s="51" t="e">
        <f t="shared" si="2"/>
        <v>#REF!</v>
      </c>
      <c r="J21" s="51" t="e">
        <f t="shared" si="2"/>
        <v>#REF!</v>
      </c>
      <c r="K21" s="51" t="e">
        <f t="shared" si="2"/>
        <v>#REF!</v>
      </c>
      <c r="L21" s="51" t="e">
        <f t="shared" si="2"/>
        <v>#REF!</v>
      </c>
      <c r="M21" s="51" t="e">
        <f t="shared" si="2"/>
        <v>#REF!</v>
      </c>
      <c r="N21" s="51" t="e">
        <f t="shared" si="2"/>
        <v>#REF!</v>
      </c>
      <c r="O21" s="51" t="e">
        <f t="shared" si="2"/>
        <v>#REF!</v>
      </c>
      <c r="P21" s="51" t="e">
        <f t="shared" si="2"/>
        <v>#REF!</v>
      </c>
      <c r="Q21" s="51" t="e">
        <f t="shared" si="2"/>
        <v>#REF!</v>
      </c>
      <c r="R21" s="51" t="e">
        <f t="shared" si="2"/>
        <v>#REF!</v>
      </c>
      <c r="S21" s="51" t="e">
        <f t="shared" si="2"/>
        <v>#REF!</v>
      </c>
      <c r="T21" s="51" t="e">
        <f t="shared" si="2"/>
        <v>#REF!</v>
      </c>
      <c r="U21" s="51" t="e">
        <f t="shared" si="2"/>
        <v>#REF!</v>
      </c>
      <c r="V21" s="51" t="e">
        <f t="shared" si="2"/>
        <v>#REF!</v>
      </c>
      <c r="W21" s="51" t="e">
        <f t="shared" si="2"/>
        <v>#REF!</v>
      </c>
      <c r="X21" s="51" t="e">
        <f t="shared" si="2"/>
        <v>#REF!</v>
      </c>
      <c r="Y21" s="51" t="e">
        <f t="shared" si="2"/>
        <v>#REF!</v>
      </c>
      <c r="Z21" s="51" t="e">
        <f t="shared" si="2"/>
        <v>#REF!</v>
      </c>
      <c r="AA21" s="51" t="e">
        <f t="shared" si="2"/>
        <v>#REF!</v>
      </c>
      <c r="AB21" s="51" t="e">
        <f t="shared" si="2"/>
        <v>#REF!</v>
      </c>
      <c r="AC21" s="51" t="e">
        <f t="shared" si="2"/>
        <v>#REF!</v>
      </c>
    </row>
    <row r="22" ht="15" customHeight="1" spans="1:29">
      <c r="A22" s="49">
        <v>12</v>
      </c>
      <c r="B22" s="53" t="s">
        <v>487</v>
      </c>
      <c r="C22" s="51" t="e">
        <f t="shared" si="0"/>
        <v>#REF!</v>
      </c>
      <c r="D22" s="51">
        <f t="shared" ref="D22:AC22" si="3">D5+D6+D7+D8+D10+D11+D12+D13</f>
        <v>0</v>
      </c>
      <c r="E22" s="51" t="e">
        <f t="shared" si="3"/>
        <v>#REF!</v>
      </c>
      <c r="F22" s="51" t="e">
        <f t="shared" si="3"/>
        <v>#REF!</v>
      </c>
      <c r="G22" s="51" t="e">
        <f t="shared" si="3"/>
        <v>#REF!</v>
      </c>
      <c r="H22" s="51" t="e">
        <f t="shared" si="3"/>
        <v>#REF!</v>
      </c>
      <c r="I22" s="51" t="e">
        <f t="shared" si="3"/>
        <v>#REF!</v>
      </c>
      <c r="J22" s="51" t="e">
        <f t="shared" si="3"/>
        <v>#REF!</v>
      </c>
      <c r="K22" s="51" t="e">
        <f t="shared" si="3"/>
        <v>#REF!</v>
      </c>
      <c r="L22" s="51" t="e">
        <f t="shared" si="3"/>
        <v>#REF!</v>
      </c>
      <c r="M22" s="51" t="e">
        <f t="shared" si="3"/>
        <v>#REF!</v>
      </c>
      <c r="N22" s="51" t="e">
        <f t="shared" si="3"/>
        <v>#REF!</v>
      </c>
      <c r="O22" s="51" t="e">
        <f t="shared" si="3"/>
        <v>#REF!</v>
      </c>
      <c r="P22" s="51" t="e">
        <f t="shared" si="3"/>
        <v>#REF!</v>
      </c>
      <c r="Q22" s="51" t="e">
        <f t="shared" si="3"/>
        <v>#REF!</v>
      </c>
      <c r="R22" s="51" t="e">
        <f t="shared" si="3"/>
        <v>#REF!</v>
      </c>
      <c r="S22" s="51" t="e">
        <f t="shared" si="3"/>
        <v>#REF!</v>
      </c>
      <c r="T22" s="51" t="e">
        <f t="shared" si="3"/>
        <v>#REF!</v>
      </c>
      <c r="U22" s="51" t="e">
        <f t="shared" si="3"/>
        <v>#REF!</v>
      </c>
      <c r="V22" s="51" t="e">
        <f t="shared" si="3"/>
        <v>#REF!</v>
      </c>
      <c r="W22" s="51" t="e">
        <f t="shared" si="3"/>
        <v>#REF!</v>
      </c>
      <c r="X22" s="51" t="e">
        <f t="shared" si="3"/>
        <v>#REF!</v>
      </c>
      <c r="Y22" s="51" t="e">
        <f t="shared" si="3"/>
        <v>#REF!</v>
      </c>
      <c r="Z22" s="51" t="e">
        <f t="shared" si="3"/>
        <v>#REF!</v>
      </c>
      <c r="AA22" s="51" t="e">
        <f t="shared" si="3"/>
        <v>#REF!</v>
      </c>
      <c r="AB22" s="51" t="e">
        <f t="shared" si="3"/>
        <v>#REF!</v>
      </c>
      <c r="AC22" s="51" t="e">
        <f t="shared" si="3"/>
        <v>#REF!</v>
      </c>
    </row>
    <row r="23" ht="15" customHeight="1" spans="1:29">
      <c r="A23" s="49">
        <v>13</v>
      </c>
      <c r="B23" s="53" t="s">
        <v>488</v>
      </c>
      <c r="C23" s="51" t="e">
        <f t="shared" si="0"/>
        <v>#REF!</v>
      </c>
      <c r="D23" s="51">
        <f t="shared" ref="D23:AC23" si="4">D9</f>
        <v>0</v>
      </c>
      <c r="E23" s="51" t="e">
        <f t="shared" si="4"/>
        <v>#REF!</v>
      </c>
      <c r="F23" s="51" t="e">
        <f t="shared" si="4"/>
        <v>#REF!</v>
      </c>
      <c r="G23" s="51" t="e">
        <f t="shared" si="4"/>
        <v>#REF!</v>
      </c>
      <c r="H23" s="51" t="e">
        <f t="shared" si="4"/>
        <v>#REF!</v>
      </c>
      <c r="I23" s="51" t="e">
        <f t="shared" si="4"/>
        <v>#REF!</v>
      </c>
      <c r="J23" s="51" t="e">
        <f t="shared" si="4"/>
        <v>#REF!</v>
      </c>
      <c r="K23" s="51" t="e">
        <f t="shared" si="4"/>
        <v>#REF!</v>
      </c>
      <c r="L23" s="51" t="e">
        <f t="shared" si="4"/>
        <v>#REF!</v>
      </c>
      <c r="M23" s="51" t="e">
        <f t="shared" si="4"/>
        <v>#REF!</v>
      </c>
      <c r="N23" s="51" t="e">
        <f t="shared" si="4"/>
        <v>#REF!</v>
      </c>
      <c r="O23" s="51" t="e">
        <f t="shared" si="4"/>
        <v>#REF!</v>
      </c>
      <c r="P23" s="51" t="e">
        <f t="shared" si="4"/>
        <v>#REF!</v>
      </c>
      <c r="Q23" s="51" t="e">
        <f t="shared" si="4"/>
        <v>#REF!</v>
      </c>
      <c r="R23" s="51" t="e">
        <f t="shared" si="4"/>
        <v>#REF!</v>
      </c>
      <c r="S23" s="51" t="e">
        <f t="shared" si="4"/>
        <v>#REF!</v>
      </c>
      <c r="T23" s="51" t="e">
        <f t="shared" si="4"/>
        <v>#REF!</v>
      </c>
      <c r="U23" s="51" t="e">
        <f t="shared" si="4"/>
        <v>#REF!</v>
      </c>
      <c r="V23" s="51" t="e">
        <f t="shared" si="4"/>
        <v>#REF!</v>
      </c>
      <c r="W23" s="51" t="e">
        <f t="shared" si="4"/>
        <v>#REF!</v>
      </c>
      <c r="X23" s="51" t="e">
        <f t="shared" si="4"/>
        <v>#REF!</v>
      </c>
      <c r="Y23" s="51" t="e">
        <f t="shared" si="4"/>
        <v>#REF!</v>
      </c>
      <c r="Z23" s="51" t="e">
        <f t="shared" si="4"/>
        <v>#REF!</v>
      </c>
      <c r="AA23" s="51" t="e">
        <f t="shared" si="4"/>
        <v>#REF!</v>
      </c>
      <c r="AB23" s="51" t="e">
        <f t="shared" si="4"/>
        <v>#REF!</v>
      </c>
      <c r="AC23" s="51" t="e">
        <f t="shared" si="4"/>
        <v>#REF!</v>
      </c>
    </row>
  </sheetData>
  <mergeCells count="6">
    <mergeCell ref="A1:AC1"/>
    <mergeCell ref="A2:AC2"/>
    <mergeCell ref="E3:AC3"/>
    <mergeCell ref="A3:A4"/>
    <mergeCell ref="B3:B4"/>
    <mergeCell ref="C3:C4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24"/>
  <sheetViews>
    <sheetView workbookViewId="0">
      <pane xSplit="3" topLeftCell="D1" activePane="topRight" state="frozen"/>
      <selection/>
      <selection pane="topRight" activeCell="A1" sqref="A1:AC1"/>
    </sheetView>
  </sheetViews>
  <sheetFormatPr defaultColWidth="8.83333333333333" defaultRowHeight="13.5"/>
  <cols>
    <col min="1" max="1" width="8.83333333333333" style="3" customWidth="1"/>
    <col min="2" max="2" width="24.8333333333333" style="14" customWidth="1"/>
    <col min="3" max="29" width="12.8333333333333" style="3" customWidth="1"/>
  </cols>
  <sheetData>
    <row r="1" ht="24" customHeight="1" spans="1:29">
      <c r="A1" s="36" t="s">
        <v>489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ht="15" customHeight="1" spans="1:29">
      <c r="A2" s="39" t="s">
        <v>464</v>
      </c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ht="15" customHeight="1" spans="1:29">
      <c r="A3" s="72" t="s">
        <v>1</v>
      </c>
      <c r="B3" s="41" t="s">
        <v>2</v>
      </c>
      <c r="C3" s="72" t="s">
        <v>465</v>
      </c>
      <c r="D3" s="42" t="s">
        <v>481</v>
      </c>
      <c r="E3" s="42" t="s">
        <v>482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ht="15" customHeight="1" spans="1:29">
      <c r="A4" s="107"/>
      <c r="B4" s="17"/>
      <c r="C4" s="18"/>
      <c r="D4" s="18" t="s">
        <v>278</v>
      </c>
      <c r="E4" s="103" t="s">
        <v>279</v>
      </c>
      <c r="F4" s="103" t="s">
        <v>280</v>
      </c>
      <c r="G4" s="103" t="s">
        <v>281</v>
      </c>
      <c r="H4" s="103" t="s">
        <v>282</v>
      </c>
      <c r="I4" s="103" t="s">
        <v>327</v>
      </c>
      <c r="J4" s="103" t="s">
        <v>328</v>
      </c>
      <c r="K4" s="103" t="s">
        <v>329</v>
      </c>
      <c r="L4" s="103" t="s">
        <v>330</v>
      </c>
      <c r="M4" s="103" t="s">
        <v>331</v>
      </c>
      <c r="N4" s="103" t="s">
        <v>332</v>
      </c>
      <c r="O4" s="103" t="s">
        <v>333</v>
      </c>
      <c r="P4" s="103" t="s">
        <v>334</v>
      </c>
      <c r="Q4" s="103" t="s">
        <v>335</v>
      </c>
      <c r="R4" s="103" t="s">
        <v>336</v>
      </c>
      <c r="S4" s="103" t="s">
        <v>337</v>
      </c>
      <c r="T4" s="103" t="s">
        <v>338</v>
      </c>
      <c r="U4" s="103" t="s">
        <v>339</v>
      </c>
      <c r="V4" s="103" t="s">
        <v>340</v>
      </c>
      <c r="W4" s="103" t="s">
        <v>341</v>
      </c>
      <c r="X4" s="103" t="s">
        <v>342</v>
      </c>
      <c r="Y4" s="103" t="s">
        <v>343</v>
      </c>
      <c r="Z4" s="103" t="s">
        <v>344</v>
      </c>
      <c r="AA4" s="103" t="s">
        <v>345</v>
      </c>
      <c r="AB4" s="103" t="s">
        <v>346</v>
      </c>
      <c r="AC4" s="103" t="s">
        <v>347</v>
      </c>
    </row>
    <row r="5" ht="15" customHeight="1" spans="1:29">
      <c r="A5" s="68">
        <v>1</v>
      </c>
      <c r="B5" s="24" t="s">
        <v>321</v>
      </c>
      <c r="C5" s="51">
        <f>SUM(D5:AC5)</f>
        <v>0</v>
      </c>
      <c r="D5" s="51">
        <f>投资计划与资金筹措表!D14</f>
        <v>0</v>
      </c>
      <c r="E5" s="51">
        <f>投资计划与资金筹措表!E14</f>
        <v>0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 ht="15" customHeight="1" spans="1:29">
      <c r="A6" s="29">
        <v>1.1</v>
      </c>
      <c r="B6" s="24" t="s">
        <v>396</v>
      </c>
      <c r="C6" s="51"/>
      <c r="D6" s="51">
        <f>IF(基本参数!$B$35="约定还款",成本费用!C85,IF(基本参数!$B$35="等额还本付息",成本费用!C82,成本费用!C78))</f>
        <v>0</v>
      </c>
      <c r="E6" s="51">
        <f>IF(基本参数!$B$35="约定还款",成本费用!D85,IF(基本参数!$B$35="等额还本付息",成本费用!D82,成本费用!D78))</f>
        <v>0</v>
      </c>
      <c r="F6" s="51">
        <f>IF(基本参数!$B$35="约定还款",成本费用!E85,IF(基本参数!$B$35="等额还本付息",成本费用!E82,成本费用!E78))</f>
        <v>0</v>
      </c>
      <c r="G6" s="51">
        <f>IF(基本参数!$B$35="约定还款",成本费用!F85,IF(基本参数!$B$35="等额还本付息",成本费用!F82,成本费用!F78))</f>
        <v>0</v>
      </c>
      <c r="H6" s="51">
        <f>IF(基本参数!$B$35="约定还款",成本费用!G85,IF(基本参数!$B$35="等额还本付息",成本费用!G82,成本费用!G78))</f>
        <v>0</v>
      </c>
      <c r="I6" s="51">
        <f>IF(基本参数!$B$35="约定还款",成本费用!H85,IF(基本参数!$B$35="等额还本付息",成本费用!H82,成本费用!H78))</f>
        <v>0</v>
      </c>
      <c r="J6" s="51">
        <f>IF(基本参数!$B$35="约定还款",成本费用!I85,IF(基本参数!$B$35="等额还本付息",成本费用!I82,成本费用!I78))</f>
        <v>0</v>
      </c>
      <c r="K6" s="51">
        <f>IF(基本参数!$B$35="约定还款",成本费用!J85,IF(基本参数!$B$35="等额还本付息",成本费用!J82,成本费用!J78))</f>
        <v>0</v>
      </c>
      <c r="L6" s="51">
        <f>IF(基本参数!$B$35="约定还款",成本费用!K85,IF(基本参数!$B$35="等额还本付息",成本费用!K82,成本费用!K78))</f>
        <v>0</v>
      </c>
      <c r="M6" s="51">
        <f>IF(基本参数!$B$35="约定还款",成本费用!L85,IF(基本参数!$B$35="等额还本付息",成本费用!L82,成本费用!L78))</f>
        <v>0</v>
      </c>
      <c r="N6" s="51">
        <f>IF(基本参数!$B$35="约定还款",成本费用!M85,IF(基本参数!$B$35="等额还本付息",成本费用!M82,成本费用!M78))</f>
        <v>0</v>
      </c>
      <c r="O6" s="51">
        <f>IF(基本参数!$B$35="约定还款",成本费用!N85,IF(基本参数!$B$35="等额还本付息",成本费用!N82,成本费用!N78))</f>
        <v>0</v>
      </c>
      <c r="P6" s="51">
        <f>IF(基本参数!$B$35="约定还款",成本费用!O85,IF(基本参数!$B$35="等额还本付息",成本费用!O82,成本费用!O78))</f>
        <v>0</v>
      </c>
      <c r="Q6" s="51">
        <f>IF(基本参数!$B$35="约定还款",成本费用!P85,IF(基本参数!$B$35="等额还本付息",成本费用!P82,成本费用!P78))</f>
        <v>0</v>
      </c>
      <c r="R6" s="51">
        <f>IF(基本参数!$B$35="约定还款",成本费用!Q85,IF(基本参数!$B$35="等额还本付息",成本费用!Q82,成本费用!Q78))</f>
        <v>0</v>
      </c>
      <c r="S6" s="51">
        <f>IF(基本参数!$B$35="约定还款",成本费用!R85,IF(基本参数!$B$35="等额还本付息",成本费用!R82,成本费用!R78))</f>
        <v>0</v>
      </c>
      <c r="T6" s="51">
        <f>IF(基本参数!$B$35="约定还款",成本费用!S85,IF(基本参数!$B$35="等额还本付息",成本费用!S82,成本费用!S78))</f>
        <v>0</v>
      </c>
      <c r="U6" s="51">
        <f>IF(基本参数!$B$35="约定还款",成本费用!T85,IF(基本参数!$B$35="等额还本付息",成本费用!T82,成本费用!T78))</f>
        <v>0</v>
      </c>
      <c r="V6" s="51">
        <f>IF(基本参数!$B$35="约定还款",成本费用!U85,IF(基本参数!$B$35="等额还本付息",成本费用!U82,成本费用!U78))</f>
        <v>0</v>
      </c>
      <c r="W6" s="51">
        <f>IF(基本参数!$B$35="约定还款",成本费用!V85,IF(基本参数!$B$35="等额还本付息",成本费用!V82,成本费用!V78))</f>
        <v>0</v>
      </c>
      <c r="X6" s="51">
        <f>IF(基本参数!$B$35="约定还款",成本费用!W85,IF(基本参数!$B$35="等额还本付息",成本费用!W82,成本费用!W78))</f>
        <v>0</v>
      </c>
      <c r="Y6" s="51">
        <f>IF(基本参数!$B$35="约定还款",成本费用!X85,IF(基本参数!$B$35="等额还本付息",成本费用!X82,成本费用!X78))</f>
        <v>0</v>
      </c>
      <c r="Z6" s="51">
        <f>IF(基本参数!$B$35="约定还款",成本费用!Y85,IF(基本参数!$B$35="等额还本付息",成本费用!Y82,成本费用!Y78))</f>
        <v>0</v>
      </c>
      <c r="AA6" s="51">
        <f>IF(基本参数!$B$35="约定还款",成本费用!Z85,IF(基本参数!$B$35="等额还本付息",成本费用!Z82,成本费用!Z78))</f>
        <v>0</v>
      </c>
      <c r="AB6" s="51">
        <f>IF(基本参数!$B$35="约定还款",成本费用!AA85,IF(基本参数!$B$35="等额还本付息",成本费用!AA82,成本费用!AA78))</f>
        <v>0</v>
      </c>
      <c r="AC6" s="51">
        <f>IF(基本参数!$B$35="约定还款",成本费用!AB85,IF(基本参数!$B$35="等额还本付息",成本费用!AB82,成本费用!AB78))</f>
        <v>0</v>
      </c>
    </row>
    <row r="7" ht="15" customHeight="1" spans="1:29">
      <c r="A7" s="29">
        <v>1.2</v>
      </c>
      <c r="B7" s="24" t="s">
        <v>490</v>
      </c>
      <c r="C7" s="51">
        <f>SUM(D7:AC7)</f>
        <v>0</v>
      </c>
      <c r="D7" s="51">
        <f t="shared" ref="D7:AC7" si="0">D8+D9</f>
        <v>0</v>
      </c>
      <c r="E7" s="51">
        <f t="shared" si="0"/>
        <v>0</v>
      </c>
      <c r="F7" s="51">
        <f t="shared" si="0"/>
        <v>0</v>
      </c>
      <c r="G7" s="51">
        <f t="shared" si="0"/>
        <v>0</v>
      </c>
      <c r="H7" s="51">
        <f t="shared" si="0"/>
        <v>0</v>
      </c>
      <c r="I7" s="51">
        <f t="shared" si="0"/>
        <v>0</v>
      </c>
      <c r="J7" s="51">
        <f t="shared" si="0"/>
        <v>0</v>
      </c>
      <c r="K7" s="51">
        <f t="shared" si="0"/>
        <v>0</v>
      </c>
      <c r="L7" s="51">
        <f t="shared" si="0"/>
        <v>0</v>
      </c>
      <c r="M7" s="51">
        <f t="shared" si="0"/>
        <v>0</v>
      </c>
      <c r="N7" s="51">
        <f t="shared" si="0"/>
        <v>0</v>
      </c>
      <c r="O7" s="51">
        <f t="shared" si="0"/>
        <v>0</v>
      </c>
      <c r="P7" s="51">
        <f t="shared" si="0"/>
        <v>0</v>
      </c>
      <c r="Q7" s="51">
        <f t="shared" si="0"/>
        <v>0</v>
      </c>
      <c r="R7" s="51">
        <f t="shared" si="0"/>
        <v>0</v>
      </c>
      <c r="S7" s="51">
        <f t="shared" si="0"/>
        <v>0</v>
      </c>
      <c r="T7" s="51">
        <f t="shared" si="0"/>
        <v>0</v>
      </c>
      <c r="U7" s="51">
        <f t="shared" si="0"/>
        <v>0</v>
      </c>
      <c r="V7" s="51">
        <f t="shared" si="0"/>
        <v>0</v>
      </c>
      <c r="W7" s="51">
        <f t="shared" si="0"/>
        <v>0</v>
      </c>
      <c r="X7" s="51">
        <f t="shared" si="0"/>
        <v>0</v>
      </c>
      <c r="Y7" s="51">
        <f t="shared" si="0"/>
        <v>0</v>
      </c>
      <c r="Z7" s="51">
        <f t="shared" si="0"/>
        <v>0</v>
      </c>
      <c r="AA7" s="51">
        <f t="shared" si="0"/>
        <v>0</v>
      </c>
      <c r="AB7" s="51">
        <f t="shared" si="0"/>
        <v>0</v>
      </c>
      <c r="AC7" s="51">
        <f t="shared" si="0"/>
        <v>0</v>
      </c>
    </row>
    <row r="8" ht="15" customHeight="1" spans="1:29">
      <c r="A8" s="29" t="s">
        <v>491</v>
      </c>
      <c r="B8" s="24" t="s">
        <v>393</v>
      </c>
      <c r="C8" s="51">
        <f>SUM(D8:AC8)</f>
        <v>0</v>
      </c>
      <c r="D8" s="51">
        <f>IF(基本参数!$B$35="约定还款",成本费用!C86,IF(基本参数!$B$35="等额还本付息",成本费用!C83,成本费用!C79))</f>
        <v>0</v>
      </c>
      <c r="E8" s="51">
        <f>IF(基本参数!$B$35="约定还款",成本费用!D86,IF(基本参数!$B$35="等额还本付息",成本费用!D83,成本费用!D79))</f>
        <v>0</v>
      </c>
      <c r="F8" s="51">
        <f>IF(基本参数!$B$35="约定还款",成本费用!E86,IF(基本参数!$B$35="等额还本付息",成本费用!E83,成本费用!E79))</f>
        <v>0</v>
      </c>
      <c r="G8" s="51">
        <f>IF(基本参数!$B$35="约定还款",成本费用!F86,IF(基本参数!$B$35="等额还本付息",成本费用!F83,成本费用!F79))</f>
        <v>0</v>
      </c>
      <c r="H8" s="51">
        <f>IF(基本参数!$B$35="约定还款",成本费用!G86,IF(基本参数!$B$35="等额还本付息",成本费用!G83,成本费用!G79))</f>
        <v>0</v>
      </c>
      <c r="I8" s="51">
        <f>IF(基本参数!$B$35="约定还款",成本费用!H86,IF(基本参数!$B$35="等额还本付息",成本费用!H83,成本费用!H79))</f>
        <v>0</v>
      </c>
      <c r="J8" s="51">
        <f>IF(基本参数!$B$35="约定还款",成本费用!I86,IF(基本参数!$B$35="等额还本付息",成本费用!I83,成本费用!I79))</f>
        <v>0</v>
      </c>
      <c r="K8" s="51">
        <f>IF(基本参数!$B$35="约定还款",成本费用!J86,IF(基本参数!$B$35="等额还本付息",成本费用!J83,成本费用!J79))</f>
        <v>0</v>
      </c>
      <c r="L8" s="51">
        <f>IF(基本参数!$B$35="约定还款",成本费用!K86,IF(基本参数!$B$35="等额还本付息",成本费用!K83,成本费用!K79))</f>
        <v>0</v>
      </c>
      <c r="M8" s="51">
        <f>IF(基本参数!$B$35="约定还款",成本费用!L86,IF(基本参数!$B$35="等额还本付息",成本费用!L83,成本费用!L79))</f>
        <v>0</v>
      </c>
      <c r="N8" s="51">
        <f>IF(基本参数!$B$35="约定还款",成本费用!M86,IF(基本参数!$B$35="等额还本付息",成本费用!M83,成本费用!M79))</f>
        <v>0</v>
      </c>
      <c r="O8" s="51">
        <f>IF(基本参数!$B$35="约定还款",成本费用!N86,IF(基本参数!$B$35="等额还本付息",成本费用!N83,成本费用!N79))</f>
        <v>0</v>
      </c>
      <c r="P8" s="51">
        <f>IF(基本参数!$B$35="约定还款",成本费用!O86,IF(基本参数!$B$35="等额还本付息",成本费用!O83,成本费用!O79))</f>
        <v>0</v>
      </c>
      <c r="Q8" s="51">
        <f>IF(基本参数!$B$35="约定还款",成本费用!P86,IF(基本参数!$B$35="等额还本付息",成本费用!P83,成本费用!P79))</f>
        <v>0</v>
      </c>
      <c r="R8" s="51">
        <f>IF(基本参数!$B$35="约定还款",成本费用!Q86,IF(基本参数!$B$35="等额还本付息",成本费用!Q83,成本费用!Q79))</f>
        <v>0</v>
      </c>
      <c r="S8" s="51">
        <f>IF(基本参数!$B$35="约定还款",成本费用!R86,IF(基本参数!$B$35="等额还本付息",成本费用!R83,成本费用!R79))</f>
        <v>0</v>
      </c>
      <c r="T8" s="51">
        <f>IF(基本参数!$B$35="约定还款",成本费用!S86,IF(基本参数!$B$35="等额还本付息",成本费用!S83,成本费用!S79))</f>
        <v>0</v>
      </c>
      <c r="U8" s="51">
        <f>IF(基本参数!$B$35="约定还款",成本费用!T86,IF(基本参数!$B$35="等额还本付息",成本费用!T83,成本费用!T79))</f>
        <v>0</v>
      </c>
      <c r="V8" s="51">
        <f>IF(基本参数!$B$35="约定还款",成本费用!U86,IF(基本参数!$B$35="等额还本付息",成本费用!U83,成本费用!U79))</f>
        <v>0</v>
      </c>
      <c r="W8" s="51">
        <f>IF(基本参数!$B$35="约定还款",成本费用!V86,IF(基本参数!$B$35="等额还本付息",成本费用!V83,成本费用!V79))</f>
        <v>0</v>
      </c>
      <c r="X8" s="51">
        <f>IF(基本参数!$B$35="约定还款",成本费用!W86,IF(基本参数!$B$35="等额还本付息",成本费用!W83,成本费用!W79))</f>
        <v>0</v>
      </c>
      <c r="Y8" s="51">
        <f>IF(基本参数!$B$35="约定还款",成本费用!X86,IF(基本参数!$B$35="等额还本付息",成本费用!X83,成本费用!X79))</f>
        <v>0</v>
      </c>
      <c r="Z8" s="51">
        <f>IF(基本参数!$B$35="约定还款",成本费用!Y86,IF(基本参数!$B$35="等额还本付息",成本费用!Y83,成本费用!Y79))</f>
        <v>0</v>
      </c>
      <c r="AA8" s="51">
        <f>IF(基本参数!$B$35="约定还款",成本费用!Z86,IF(基本参数!$B$35="等额还本付息",成本费用!Z83,成本费用!Z79))</f>
        <v>0</v>
      </c>
      <c r="AB8" s="51">
        <f>IF(基本参数!$B$35="约定还款",成本费用!AA86,IF(基本参数!$B$35="等额还本付息",成本费用!AA83,成本费用!AA79))</f>
        <v>0</v>
      </c>
      <c r="AC8" s="51">
        <f>IF(基本参数!$B$35="约定还款",成本费用!AB86,IF(基本参数!$B$35="等额还本付息",成本费用!AB83,成本费用!AB79))</f>
        <v>0</v>
      </c>
    </row>
    <row r="9" ht="15" customHeight="1" spans="1:29">
      <c r="A9" s="29" t="s">
        <v>492</v>
      </c>
      <c r="B9" s="24" t="s">
        <v>493</v>
      </c>
      <c r="C9" s="51">
        <f>SUM(D9:AC9)</f>
        <v>0</v>
      </c>
      <c r="D9" s="51">
        <f>IF(基本参数!$B$35="约定还款",成本费用!C87,IF(基本参数!$B$35="等额还本付息",成本费用!C84,成本费用!C80))</f>
        <v>0</v>
      </c>
      <c r="E9" s="51">
        <f>IF(基本参数!$B$35="约定还款",成本费用!D87,IF(基本参数!$B$35="等额还本付息",成本费用!D84,成本费用!D80))</f>
        <v>0</v>
      </c>
      <c r="F9" s="51">
        <f>IF(基本参数!$B$35="约定还款",成本费用!E87,IF(基本参数!$B$35="等额还本付息",成本费用!E84,成本费用!E80))</f>
        <v>0</v>
      </c>
      <c r="G9" s="51">
        <f>IF(基本参数!$B$35="约定还款",成本费用!F87,IF(基本参数!$B$35="等额还本付息",成本费用!F84,成本费用!F80))</f>
        <v>0</v>
      </c>
      <c r="H9" s="51">
        <f>IF(基本参数!$B$35="约定还款",成本费用!G87,IF(基本参数!$B$35="等额还本付息",成本费用!G84,成本费用!G80))</f>
        <v>0</v>
      </c>
      <c r="I9" s="51">
        <f>IF(基本参数!$B$35="约定还款",成本费用!H87,IF(基本参数!$B$35="等额还本付息",成本费用!H84,成本费用!H80))</f>
        <v>0</v>
      </c>
      <c r="J9" s="51">
        <f>IF(基本参数!$B$35="约定还款",成本费用!I87,IF(基本参数!$B$35="等额还本付息",成本费用!I84,成本费用!I80))</f>
        <v>0</v>
      </c>
      <c r="K9" s="51">
        <f>IF(基本参数!$B$35="约定还款",成本费用!J87,IF(基本参数!$B$35="等额还本付息",成本费用!J84,成本费用!J80))</f>
        <v>0</v>
      </c>
      <c r="L9" s="51">
        <f>IF(基本参数!$B$35="约定还款",成本费用!K87,IF(基本参数!$B$35="等额还本付息",成本费用!K84,成本费用!K80))</f>
        <v>0</v>
      </c>
      <c r="M9" s="51">
        <f>IF(基本参数!$B$35="约定还款",成本费用!L87,IF(基本参数!$B$35="等额还本付息",成本费用!L84,成本费用!L80))</f>
        <v>0</v>
      </c>
      <c r="N9" s="51">
        <f>IF(基本参数!$B$35="约定还款",成本费用!M87,IF(基本参数!$B$35="等额还本付息",成本费用!M84,成本费用!M80))</f>
        <v>0</v>
      </c>
      <c r="O9" s="51">
        <f>IF(基本参数!$B$35="约定还款",成本费用!N87,IF(基本参数!$B$35="等额还本付息",成本费用!N84,成本费用!N80))</f>
        <v>0</v>
      </c>
      <c r="P9" s="51">
        <f>IF(基本参数!$B$35="约定还款",成本费用!O87,IF(基本参数!$B$35="等额还本付息",成本费用!O84,成本费用!O80))</f>
        <v>0</v>
      </c>
      <c r="Q9" s="51">
        <f>IF(基本参数!$B$35="约定还款",成本费用!P87,IF(基本参数!$B$35="等额还本付息",成本费用!P84,成本费用!P80))</f>
        <v>0</v>
      </c>
      <c r="R9" s="51">
        <f>IF(基本参数!$B$35="约定还款",成本费用!Q87,IF(基本参数!$B$35="等额还本付息",成本费用!Q84,成本费用!Q80))</f>
        <v>0</v>
      </c>
      <c r="S9" s="51">
        <f>IF(基本参数!$B$35="约定还款",成本费用!R87,IF(基本参数!$B$35="等额还本付息",成本费用!R84,成本费用!R80))</f>
        <v>0</v>
      </c>
      <c r="T9" s="51">
        <f>IF(基本参数!$B$35="约定还款",成本费用!S87,IF(基本参数!$B$35="等额还本付息",成本费用!S84,成本费用!S80))</f>
        <v>0</v>
      </c>
      <c r="U9" s="51">
        <f>IF(基本参数!$B$35="约定还款",成本费用!T87,IF(基本参数!$B$35="等额还本付息",成本费用!T84,成本费用!T80))</f>
        <v>0</v>
      </c>
      <c r="V9" s="51">
        <f>IF(基本参数!$B$35="约定还款",成本费用!U87,IF(基本参数!$B$35="等额还本付息",成本费用!U84,成本费用!U80))</f>
        <v>0</v>
      </c>
      <c r="W9" s="51">
        <f>IF(基本参数!$B$35="约定还款",成本费用!V87,IF(基本参数!$B$35="等额还本付息",成本费用!V84,成本费用!V80))</f>
        <v>0</v>
      </c>
      <c r="X9" s="51">
        <f>IF(基本参数!$B$35="约定还款",成本费用!W87,IF(基本参数!$B$35="等额还本付息",成本费用!W84,成本费用!W80))</f>
        <v>0</v>
      </c>
      <c r="Y9" s="51">
        <f>IF(基本参数!$B$35="约定还款",成本费用!X87,IF(基本参数!$B$35="等额还本付息",成本费用!X84,成本费用!X80))</f>
        <v>0</v>
      </c>
      <c r="Z9" s="51">
        <f>IF(基本参数!$B$35="约定还款",成本费用!Y87,IF(基本参数!$B$35="等额还本付息",成本费用!Y84,成本费用!Y80))</f>
        <v>0</v>
      </c>
      <c r="AA9" s="51">
        <f>IF(基本参数!$B$35="约定还款",成本费用!Z87,IF(基本参数!$B$35="等额还本付息",成本费用!Z84,成本费用!Z80))</f>
        <v>0</v>
      </c>
      <c r="AB9" s="51">
        <f>IF(基本参数!$B$35="约定还款",成本费用!AA87,IF(基本参数!$B$35="等额还本付息",成本费用!AA84,成本费用!AA80))</f>
        <v>0</v>
      </c>
      <c r="AC9" s="51">
        <f>IF(基本参数!$B$35="约定还款",成本费用!AB87,IF(基本参数!$B$35="等额还本付息",成本费用!AB84,成本费用!AB80))</f>
        <v>0</v>
      </c>
    </row>
    <row r="10" ht="15" customHeight="1" spans="1:29">
      <c r="A10" s="29">
        <v>1.3</v>
      </c>
      <c r="B10" s="24" t="s">
        <v>494</v>
      </c>
      <c r="C10" s="51"/>
      <c r="D10" s="51">
        <f t="shared" ref="D10:AC10" si="1">D5+D6-D8</f>
        <v>0</v>
      </c>
      <c r="E10" s="51">
        <f t="shared" si="1"/>
        <v>0</v>
      </c>
      <c r="F10" s="51">
        <f t="shared" si="1"/>
        <v>0</v>
      </c>
      <c r="G10" s="51">
        <f t="shared" si="1"/>
        <v>0</v>
      </c>
      <c r="H10" s="51">
        <f t="shared" si="1"/>
        <v>0</v>
      </c>
      <c r="I10" s="51">
        <f t="shared" si="1"/>
        <v>0</v>
      </c>
      <c r="J10" s="51">
        <f t="shared" si="1"/>
        <v>0</v>
      </c>
      <c r="K10" s="51">
        <f t="shared" si="1"/>
        <v>0</v>
      </c>
      <c r="L10" s="51">
        <f t="shared" si="1"/>
        <v>0</v>
      </c>
      <c r="M10" s="51">
        <f t="shared" si="1"/>
        <v>0</v>
      </c>
      <c r="N10" s="51">
        <f t="shared" si="1"/>
        <v>0</v>
      </c>
      <c r="O10" s="51">
        <f t="shared" si="1"/>
        <v>0</v>
      </c>
      <c r="P10" s="51">
        <f t="shared" si="1"/>
        <v>0</v>
      </c>
      <c r="Q10" s="51">
        <f t="shared" si="1"/>
        <v>0</v>
      </c>
      <c r="R10" s="51">
        <f t="shared" si="1"/>
        <v>0</v>
      </c>
      <c r="S10" s="51">
        <f t="shared" si="1"/>
        <v>0</v>
      </c>
      <c r="T10" s="51">
        <f t="shared" si="1"/>
        <v>0</v>
      </c>
      <c r="U10" s="51">
        <f t="shared" si="1"/>
        <v>0</v>
      </c>
      <c r="V10" s="51">
        <f t="shared" si="1"/>
        <v>0</v>
      </c>
      <c r="W10" s="51">
        <f t="shared" si="1"/>
        <v>0</v>
      </c>
      <c r="X10" s="51">
        <f t="shared" si="1"/>
        <v>0</v>
      </c>
      <c r="Y10" s="51">
        <f t="shared" si="1"/>
        <v>0</v>
      </c>
      <c r="Z10" s="51">
        <f t="shared" si="1"/>
        <v>0</v>
      </c>
      <c r="AA10" s="51">
        <f t="shared" si="1"/>
        <v>0</v>
      </c>
      <c r="AB10" s="51">
        <f t="shared" si="1"/>
        <v>0</v>
      </c>
      <c r="AC10" s="51">
        <f t="shared" si="1"/>
        <v>0</v>
      </c>
    </row>
    <row r="11" ht="15" customHeight="1" spans="1:29">
      <c r="A11" s="68">
        <v>2</v>
      </c>
      <c r="B11" s="24" t="s">
        <v>479</v>
      </c>
      <c r="C11" s="51">
        <f>SUM(D11:AC11)</f>
        <v>0</v>
      </c>
      <c r="D11" s="51">
        <f>投资计划与资金筹措表!D17</f>
        <v>0</v>
      </c>
      <c r="E11" s="51">
        <f>投资计划与资金筹措表!E17</f>
        <v>0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ht="15" customHeight="1" spans="1:29">
      <c r="A12" s="12">
        <v>2.1</v>
      </c>
      <c r="B12" s="10" t="s">
        <v>495</v>
      </c>
      <c r="C12" s="51"/>
      <c r="D12" s="51">
        <f>SUM($D$11:D11)</f>
        <v>0</v>
      </c>
      <c r="E12" s="51">
        <f>SUM($D$11:E11)</f>
        <v>0</v>
      </c>
      <c r="F12" s="51">
        <f>SUM($D$11:F11)</f>
        <v>0</v>
      </c>
      <c r="G12" s="51">
        <f>SUM($D$11:G11)</f>
        <v>0</v>
      </c>
      <c r="H12" s="51">
        <f>SUM($D$11:H11)</f>
        <v>0</v>
      </c>
      <c r="I12" s="51">
        <f>SUM($D$11:I11)</f>
        <v>0</v>
      </c>
      <c r="J12" s="51">
        <f>SUM($D$11:J11)</f>
        <v>0</v>
      </c>
      <c r="K12" s="51">
        <f>SUM($D$11:K11)</f>
        <v>0</v>
      </c>
      <c r="L12" s="51">
        <f>SUM($D$11:L11)</f>
        <v>0</v>
      </c>
      <c r="M12" s="51">
        <f>SUM($D$11:M11)</f>
        <v>0</v>
      </c>
      <c r="N12" s="51">
        <f>SUM($D$11:N11)</f>
        <v>0</v>
      </c>
      <c r="O12" s="51">
        <f>SUM($D$11:O11)</f>
        <v>0</v>
      </c>
      <c r="P12" s="51">
        <f>SUM($D$11:P11)</f>
        <v>0</v>
      </c>
      <c r="Q12" s="51">
        <f>SUM($D$11:Q11)</f>
        <v>0</v>
      </c>
      <c r="R12" s="51">
        <f>SUM($D$11:R11)</f>
        <v>0</v>
      </c>
      <c r="S12" s="51">
        <f>SUM($D$11:S11)</f>
        <v>0</v>
      </c>
      <c r="T12" s="51">
        <f>SUM($D$11:T11)</f>
        <v>0</v>
      </c>
      <c r="U12" s="51">
        <f>SUM($D$11:U11)</f>
        <v>0</v>
      </c>
      <c r="V12" s="51">
        <f>SUM($D$11:V11)</f>
        <v>0</v>
      </c>
      <c r="W12" s="51">
        <f>SUM($D$11:W11)</f>
        <v>0</v>
      </c>
      <c r="X12" s="51">
        <f>SUM($D$11:X11)</f>
        <v>0</v>
      </c>
      <c r="Y12" s="51">
        <f>SUM($D$11:Y11)</f>
        <v>0</v>
      </c>
      <c r="Z12" s="51">
        <f>SUM($D$11:Z11)</f>
        <v>0</v>
      </c>
      <c r="AA12" s="51">
        <f>SUM($D$11:AA11)</f>
        <v>0</v>
      </c>
      <c r="AB12" s="51">
        <f>SUM($D$11:AB11)</f>
        <v>0</v>
      </c>
      <c r="AC12" s="51">
        <f>SUM($D$11:AC11)</f>
        <v>0</v>
      </c>
    </row>
    <row r="13" ht="15" customHeight="1" spans="1:29">
      <c r="A13" s="29">
        <v>2.2</v>
      </c>
      <c r="B13" s="24" t="s">
        <v>496</v>
      </c>
      <c r="C13" s="51">
        <f>SUM(D13:AC13)</f>
        <v>0</v>
      </c>
      <c r="D13" s="51">
        <f>D12*基本参数!$B$29%</f>
        <v>0</v>
      </c>
      <c r="E13" s="51">
        <f>E12*基本参数!$B$29%</f>
        <v>0</v>
      </c>
      <c r="F13" s="51">
        <f>F12*基本参数!$B$29%</f>
        <v>0</v>
      </c>
      <c r="G13" s="51">
        <f>G12*基本参数!$B$29%</f>
        <v>0</v>
      </c>
      <c r="H13" s="51">
        <f>H12*基本参数!$B$29%</f>
        <v>0</v>
      </c>
      <c r="I13" s="51">
        <f>I12*基本参数!$B$29%</f>
        <v>0</v>
      </c>
      <c r="J13" s="51">
        <f>J12*基本参数!$B$29%</f>
        <v>0</v>
      </c>
      <c r="K13" s="51">
        <f>K12*基本参数!$B$29%</f>
        <v>0</v>
      </c>
      <c r="L13" s="51">
        <f>L12*基本参数!$B$29%</f>
        <v>0</v>
      </c>
      <c r="M13" s="51">
        <f>M12*基本参数!$B$29%</f>
        <v>0</v>
      </c>
      <c r="N13" s="51">
        <f>N12*基本参数!$B$29%</f>
        <v>0</v>
      </c>
      <c r="O13" s="51">
        <f>O12*基本参数!$B$29%</f>
        <v>0</v>
      </c>
      <c r="P13" s="51">
        <f>P12*基本参数!$B$29%</f>
        <v>0</v>
      </c>
      <c r="Q13" s="51">
        <f>Q12*基本参数!$B$29%</f>
        <v>0</v>
      </c>
      <c r="R13" s="51">
        <f>R12*基本参数!$B$29%</f>
        <v>0</v>
      </c>
      <c r="S13" s="51">
        <f>S12*基本参数!$B$29%</f>
        <v>0</v>
      </c>
      <c r="T13" s="51">
        <f>T12*基本参数!$B$29%</f>
        <v>0</v>
      </c>
      <c r="U13" s="51">
        <f>U12*基本参数!$B$29%</f>
        <v>0</v>
      </c>
      <c r="V13" s="51">
        <f>V12*基本参数!$B$29%</f>
        <v>0</v>
      </c>
      <c r="W13" s="51">
        <f>W12*基本参数!$B$29%</f>
        <v>0</v>
      </c>
      <c r="X13" s="51">
        <f>X12*基本参数!$B$29%</f>
        <v>0</v>
      </c>
      <c r="Y13" s="51">
        <f>Y12*基本参数!$B$29%</f>
        <v>0</v>
      </c>
      <c r="Z13" s="51">
        <f>Z12*基本参数!$B$29%</f>
        <v>0</v>
      </c>
      <c r="AA13" s="51">
        <f>AA12*基本参数!$B$29%</f>
        <v>0</v>
      </c>
      <c r="AB13" s="51">
        <f>AB12*基本参数!$B$29%</f>
        <v>0</v>
      </c>
      <c r="AC13" s="51">
        <f>AC12*基本参数!$B$29%</f>
        <v>0</v>
      </c>
    </row>
    <row r="14" ht="15" customHeight="1" spans="1:29">
      <c r="A14" s="29">
        <v>2.3</v>
      </c>
      <c r="B14" s="24" t="s">
        <v>497</v>
      </c>
      <c r="C14" s="51">
        <f>SUM(D14:AC14)</f>
        <v>0</v>
      </c>
      <c r="D14" s="51">
        <f>IF(COLUMN()-3=基本参数!$B$2,$C$11,0)</f>
        <v>0</v>
      </c>
      <c r="E14" s="51">
        <f>IF(COLUMN()-3=基本参数!$B$2,$C$11,0)</f>
        <v>0</v>
      </c>
      <c r="F14" s="51">
        <f>IF(COLUMN()-3=基本参数!$B$2,$C$11,0)</f>
        <v>0</v>
      </c>
      <c r="G14" s="51">
        <f>IF(COLUMN()-3=基本参数!$B$2,$C$11,0)</f>
        <v>0</v>
      </c>
      <c r="H14" s="51">
        <f>IF(COLUMN()-3=基本参数!$B$2,$C$11,0)</f>
        <v>0</v>
      </c>
      <c r="I14" s="51">
        <f>IF(COLUMN()-3=基本参数!$B$2,$C$11,0)</f>
        <v>0</v>
      </c>
      <c r="J14" s="51">
        <f>IF(COLUMN()-3=基本参数!$B$2,$C$11,0)</f>
        <v>0</v>
      </c>
      <c r="K14" s="51">
        <f>IF(COLUMN()-3=基本参数!$B$2,$C$11,0)</f>
        <v>0</v>
      </c>
      <c r="L14" s="51">
        <f>IF(COLUMN()-3=基本参数!$B$2,$C$11,0)</f>
        <v>0</v>
      </c>
      <c r="M14" s="51">
        <f>IF(COLUMN()-3=基本参数!$B$2,$C$11,0)</f>
        <v>0</v>
      </c>
      <c r="N14" s="51">
        <f>IF(COLUMN()-3=基本参数!$B$2,$C$11,0)</f>
        <v>0</v>
      </c>
      <c r="O14" s="51">
        <f>IF(COLUMN()-3=基本参数!$B$2,$C$11,0)</f>
        <v>0</v>
      </c>
      <c r="P14" s="51">
        <f>IF(COLUMN()-3=基本参数!$B$2,$C$11,0)</f>
        <v>0</v>
      </c>
      <c r="Q14" s="51">
        <f>IF(COLUMN()-3=基本参数!$B$2,$C$11,0)</f>
        <v>0</v>
      </c>
      <c r="R14" s="51">
        <f>IF(COLUMN()-3=基本参数!$B$2,$C$11,0)</f>
        <v>0</v>
      </c>
      <c r="S14" s="51">
        <f>IF(COLUMN()-3=基本参数!$B$2,$C$11,0)</f>
        <v>0</v>
      </c>
      <c r="T14" s="51">
        <f>IF(COLUMN()-3=基本参数!$B$2,$C$11,0)</f>
        <v>0</v>
      </c>
      <c r="U14" s="51">
        <f>IF(COLUMN()-3=基本参数!$B$2,$C$11,0)</f>
        <v>0</v>
      </c>
      <c r="V14" s="51">
        <f>IF(COLUMN()-3=基本参数!$B$2,$C$11,0)</f>
        <v>0</v>
      </c>
      <c r="W14" s="51">
        <f>IF(COLUMN()-3=基本参数!$B$2,$C$11,0)</f>
        <v>0</v>
      </c>
      <c r="X14" s="51">
        <f>IF(COLUMN()-3=基本参数!$B$2,$C$11,0)</f>
        <v>0</v>
      </c>
      <c r="Y14" s="51">
        <f>IF(COLUMN()-3=基本参数!$B$2,$C$11,0)</f>
        <v>0</v>
      </c>
      <c r="Z14" s="51">
        <f>IF(COLUMN()-3=基本参数!$B$2,$C$11,0)</f>
        <v>0</v>
      </c>
      <c r="AA14" s="51">
        <f>IF(COLUMN()-3=基本参数!$B$2,$C$11,0)</f>
        <v>0</v>
      </c>
      <c r="AB14" s="51">
        <f>IF(COLUMN()-3=基本参数!$B$2,$C$11,0)</f>
        <v>0</v>
      </c>
      <c r="AC14" s="51">
        <f>IF(COLUMN()-3=基本参数!$B$2,$C$11,0)</f>
        <v>0</v>
      </c>
    </row>
    <row r="15" ht="15" customHeight="1" spans="1:29">
      <c r="A15" s="29"/>
      <c r="B15" s="24" t="s">
        <v>498</v>
      </c>
      <c r="C15" s="51"/>
      <c r="D15" s="51">
        <f t="shared" ref="D15:AC15" si="2">D12-D14</f>
        <v>0</v>
      </c>
      <c r="E15" s="51">
        <f t="shared" si="2"/>
        <v>0</v>
      </c>
      <c r="F15" s="51">
        <f t="shared" si="2"/>
        <v>0</v>
      </c>
      <c r="G15" s="51">
        <f t="shared" si="2"/>
        <v>0</v>
      </c>
      <c r="H15" s="51">
        <f t="shared" si="2"/>
        <v>0</v>
      </c>
      <c r="I15" s="51">
        <f t="shared" si="2"/>
        <v>0</v>
      </c>
      <c r="J15" s="51">
        <f t="shared" si="2"/>
        <v>0</v>
      </c>
      <c r="K15" s="51">
        <f t="shared" si="2"/>
        <v>0</v>
      </c>
      <c r="L15" s="51">
        <f t="shared" si="2"/>
        <v>0</v>
      </c>
      <c r="M15" s="51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1">
        <f t="shared" si="2"/>
        <v>0</v>
      </c>
      <c r="S15" s="51">
        <f t="shared" si="2"/>
        <v>0</v>
      </c>
      <c r="T15" s="51">
        <f t="shared" si="2"/>
        <v>0</v>
      </c>
      <c r="U15" s="51">
        <f t="shared" si="2"/>
        <v>0</v>
      </c>
      <c r="V15" s="51">
        <f t="shared" si="2"/>
        <v>0</v>
      </c>
      <c r="W15" s="51">
        <f t="shared" si="2"/>
        <v>0</v>
      </c>
      <c r="X15" s="51">
        <f t="shared" si="2"/>
        <v>0</v>
      </c>
      <c r="Y15" s="51">
        <f t="shared" si="2"/>
        <v>0</v>
      </c>
      <c r="Z15" s="51">
        <f t="shared" si="2"/>
        <v>0</v>
      </c>
      <c r="AA15" s="51">
        <f t="shared" si="2"/>
        <v>0</v>
      </c>
      <c r="AB15" s="51">
        <f t="shared" si="2"/>
        <v>0</v>
      </c>
      <c r="AC15" s="51">
        <f t="shared" si="2"/>
        <v>0</v>
      </c>
    </row>
    <row r="16" ht="15" customHeight="1" spans="1:29">
      <c r="A16" s="68">
        <v>3</v>
      </c>
      <c r="B16" s="24" t="s">
        <v>499</v>
      </c>
      <c r="C16" s="51"/>
      <c r="D16" s="51">
        <v>0</v>
      </c>
      <c r="E16" s="51">
        <f t="shared" ref="E16:AC16" si="3">D20</f>
        <v>0</v>
      </c>
      <c r="F16" s="51" t="e">
        <f t="shared" si="3"/>
        <v>#VALUE!</v>
      </c>
      <c r="G16" s="51" t="e">
        <f t="shared" si="3"/>
        <v>#VALUE!</v>
      </c>
      <c r="H16" s="51" t="e">
        <f t="shared" si="3"/>
        <v>#VALUE!</v>
      </c>
      <c r="I16" s="51" t="e">
        <f t="shared" si="3"/>
        <v>#VALUE!</v>
      </c>
      <c r="J16" s="51" t="e">
        <f t="shared" si="3"/>
        <v>#VALUE!</v>
      </c>
      <c r="K16" s="51" t="e">
        <f t="shared" si="3"/>
        <v>#VALUE!</v>
      </c>
      <c r="L16" s="51" t="e">
        <f t="shared" si="3"/>
        <v>#VALUE!</v>
      </c>
      <c r="M16" s="51" t="e">
        <f t="shared" si="3"/>
        <v>#VALUE!</v>
      </c>
      <c r="N16" s="51" t="e">
        <f t="shared" si="3"/>
        <v>#VALUE!</v>
      </c>
      <c r="O16" s="51" t="e">
        <f t="shared" si="3"/>
        <v>#VALUE!</v>
      </c>
      <c r="P16" s="51" t="e">
        <f t="shared" si="3"/>
        <v>#VALUE!</v>
      </c>
      <c r="Q16" s="51" t="e">
        <f t="shared" si="3"/>
        <v>#VALUE!</v>
      </c>
      <c r="R16" s="51" t="e">
        <f t="shared" si="3"/>
        <v>#VALUE!</v>
      </c>
      <c r="S16" s="51" t="e">
        <f t="shared" si="3"/>
        <v>#VALUE!</v>
      </c>
      <c r="T16" s="51" t="e">
        <f t="shared" si="3"/>
        <v>#VALUE!</v>
      </c>
      <c r="U16" s="51" t="e">
        <f t="shared" si="3"/>
        <v>#VALUE!</v>
      </c>
      <c r="V16" s="51" t="e">
        <f t="shared" si="3"/>
        <v>#VALUE!</v>
      </c>
      <c r="W16" s="51" t="e">
        <f t="shared" si="3"/>
        <v>#VALUE!</v>
      </c>
      <c r="X16" s="51" t="e">
        <f t="shared" si="3"/>
        <v>#VALUE!</v>
      </c>
      <c r="Y16" s="51" t="e">
        <f t="shared" si="3"/>
        <v>#VALUE!</v>
      </c>
      <c r="Z16" s="51" t="e">
        <f t="shared" si="3"/>
        <v>#VALUE!</v>
      </c>
      <c r="AA16" s="51" t="e">
        <f t="shared" si="3"/>
        <v>#VALUE!</v>
      </c>
      <c r="AB16" s="51" t="e">
        <f t="shared" si="3"/>
        <v>#VALUE!</v>
      </c>
      <c r="AC16" s="51" t="e">
        <f t="shared" si="3"/>
        <v>#VALUE!</v>
      </c>
    </row>
    <row r="17" ht="15" customHeight="1" spans="1:29">
      <c r="A17" s="12"/>
      <c r="B17" s="10" t="s">
        <v>500</v>
      </c>
      <c r="C17" s="51"/>
      <c r="D17" s="51">
        <f>MAX(0,财务计划现金流量表!D40)</f>
        <v>0</v>
      </c>
      <c r="E17" s="51" t="e">
        <f>MAX(0,财务计划现金流量表!E40)</f>
        <v>#VALUE!</v>
      </c>
      <c r="F17" s="51" t="e">
        <f>MAX(0,财务计划现金流量表!F40)</f>
        <v>#VALUE!</v>
      </c>
      <c r="G17" s="51" t="e">
        <f>MAX(0,财务计划现金流量表!G40)</f>
        <v>#VALUE!</v>
      </c>
      <c r="H17" s="51" t="e">
        <f>MAX(0,财务计划现金流量表!H40)</f>
        <v>#VALUE!</v>
      </c>
      <c r="I17" s="51" t="e">
        <f>MAX(0,财务计划现金流量表!I40)</f>
        <v>#VALUE!</v>
      </c>
      <c r="J17" s="51" t="e">
        <f>MAX(0,财务计划现金流量表!J40)</f>
        <v>#VALUE!</v>
      </c>
      <c r="K17" s="51" t="e">
        <f>MAX(0,财务计划现金流量表!K40)</f>
        <v>#VALUE!</v>
      </c>
      <c r="L17" s="51" t="e">
        <f>MAX(0,财务计划现金流量表!L40)</f>
        <v>#VALUE!</v>
      </c>
      <c r="M17" s="51" t="e">
        <f>MAX(0,财务计划现金流量表!M40)</f>
        <v>#VALUE!</v>
      </c>
      <c r="N17" s="51" t="e">
        <f>MAX(0,财务计划现金流量表!N40)</f>
        <v>#VALUE!</v>
      </c>
      <c r="O17" s="51" t="e">
        <f>MAX(0,财务计划现金流量表!O40)</f>
        <v>#VALUE!</v>
      </c>
      <c r="P17" s="51" t="e">
        <f>MAX(0,财务计划现金流量表!P40)</f>
        <v>#VALUE!</v>
      </c>
      <c r="Q17" s="51" t="e">
        <f>MAX(0,财务计划现金流量表!Q40)</f>
        <v>#VALUE!</v>
      </c>
      <c r="R17" s="51" t="e">
        <f>MAX(0,财务计划现金流量表!R40)</f>
        <v>#VALUE!</v>
      </c>
      <c r="S17" s="51" t="e">
        <f>MAX(0,财务计划现金流量表!S40)</f>
        <v>#VALUE!</v>
      </c>
      <c r="T17" s="51" t="e">
        <f>MAX(0,财务计划现金流量表!T40)</f>
        <v>#VALUE!</v>
      </c>
      <c r="U17" s="51" t="e">
        <f>MAX(0,财务计划现金流量表!U40)</f>
        <v>#VALUE!</v>
      </c>
      <c r="V17" s="51" t="e">
        <f>MAX(0,财务计划现金流量表!V40)</f>
        <v>#VALUE!</v>
      </c>
      <c r="W17" s="51" t="e">
        <f>MAX(0,财务计划现金流量表!W40)</f>
        <v>#VALUE!</v>
      </c>
      <c r="X17" s="51" t="e">
        <f>MAX(0,财务计划现金流量表!X40)</f>
        <v>#VALUE!</v>
      </c>
      <c r="Y17" s="51" t="e">
        <f>MAX(0,财务计划现金流量表!Y40)</f>
        <v>#VALUE!</v>
      </c>
      <c r="Z17" s="51" t="e">
        <f>MAX(0,财务计划现金流量表!Z40)</f>
        <v>#VALUE!</v>
      </c>
      <c r="AA17" s="51" t="e">
        <f>MAX(0,财务计划现金流量表!AA40)</f>
        <v>#VALUE!</v>
      </c>
      <c r="AB17" s="51" t="e">
        <f>MAX(0,财务计划现金流量表!AB40)</f>
        <v>#VALUE!</v>
      </c>
      <c r="AC17" s="51" t="e">
        <f>MAX(0,财务计划现金流量表!AC40)</f>
        <v>#VALUE!</v>
      </c>
    </row>
    <row r="18" ht="15" customHeight="1" spans="1:29">
      <c r="A18" s="29">
        <v>3.1</v>
      </c>
      <c r="B18" s="24" t="s">
        <v>501</v>
      </c>
      <c r="C18" s="51" t="e">
        <f>SUM(D18:AC18)</f>
        <v>#VALUE!</v>
      </c>
      <c r="D18" s="51">
        <v>0</v>
      </c>
      <c r="E18" s="51" t="e">
        <f>MIN(E16,MAX(0,财务计划现金流量表!E39-财务计划现金流量表!E38))</f>
        <v>#VALUE!</v>
      </c>
      <c r="F18" s="51" t="e">
        <f>MIN(F16,MAX(0,财务计划现金流量表!F39-财务计划现金流量表!F38))</f>
        <v>#VALUE!</v>
      </c>
      <c r="G18" s="51" t="e">
        <f>MIN(G16,MAX(0,财务计划现金流量表!G39-财务计划现金流量表!G38))</f>
        <v>#VALUE!</v>
      </c>
      <c r="H18" s="51" t="e">
        <f>MIN(H16,MAX(0,财务计划现金流量表!H39-财务计划现金流量表!H38))</f>
        <v>#VALUE!</v>
      </c>
      <c r="I18" s="51" t="e">
        <f>MIN(I16,MAX(0,财务计划现金流量表!I39-财务计划现金流量表!I38))</f>
        <v>#VALUE!</v>
      </c>
      <c r="J18" s="51" t="e">
        <f>MIN(J16,MAX(0,财务计划现金流量表!J39-财务计划现金流量表!J38))</f>
        <v>#VALUE!</v>
      </c>
      <c r="K18" s="51" t="e">
        <f>MIN(K16,MAX(0,财务计划现金流量表!K39-财务计划现金流量表!K38))</f>
        <v>#VALUE!</v>
      </c>
      <c r="L18" s="51" t="e">
        <f>MIN(L16,MAX(0,财务计划现金流量表!L39-财务计划现金流量表!L38))</f>
        <v>#VALUE!</v>
      </c>
      <c r="M18" s="51" t="e">
        <f>MIN(M16,MAX(0,财务计划现金流量表!M39-财务计划现金流量表!M38))</f>
        <v>#VALUE!</v>
      </c>
      <c r="N18" s="51" t="e">
        <f>MIN(N16,MAX(0,财务计划现金流量表!N39-财务计划现金流量表!N38))</f>
        <v>#VALUE!</v>
      </c>
      <c r="O18" s="51" t="e">
        <f>MIN(O16,MAX(0,财务计划现金流量表!O39-财务计划现金流量表!O38))</f>
        <v>#VALUE!</v>
      </c>
      <c r="P18" s="51" t="e">
        <f>MIN(P16,MAX(0,财务计划现金流量表!P39-财务计划现金流量表!P38))</f>
        <v>#VALUE!</v>
      </c>
      <c r="Q18" s="51" t="e">
        <f>MIN(Q16,MAX(0,财务计划现金流量表!Q39-财务计划现金流量表!Q38))</f>
        <v>#VALUE!</v>
      </c>
      <c r="R18" s="51" t="e">
        <f>MIN(R16,MAX(0,财务计划现金流量表!R39-财务计划现金流量表!R38))</f>
        <v>#VALUE!</v>
      </c>
      <c r="S18" s="51" t="e">
        <f>MIN(S16,MAX(0,财务计划现金流量表!S39-财务计划现金流量表!S38))</f>
        <v>#VALUE!</v>
      </c>
      <c r="T18" s="51" t="e">
        <f>MIN(T16,MAX(0,财务计划现金流量表!T39-财务计划现金流量表!T38))</f>
        <v>#VALUE!</v>
      </c>
      <c r="U18" s="51" t="e">
        <f>MIN(U16,MAX(0,财务计划现金流量表!U39-财务计划现金流量表!U38))</f>
        <v>#VALUE!</v>
      </c>
      <c r="V18" s="51" t="e">
        <f>MIN(V16,MAX(0,财务计划现金流量表!V39-财务计划现金流量表!V38))</f>
        <v>#VALUE!</v>
      </c>
      <c r="W18" s="51" t="e">
        <f>MIN(W16,MAX(0,财务计划现金流量表!W39-财务计划现金流量表!W38))</f>
        <v>#VALUE!</v>
      </c>
      <c r="X18" s="51" t="e">
        <f>MIN(X16,MAX(0,财务计划现金流量表!X39-财务计划现金流量表!X38))</f>
        <v>#VALUE!</v>
      </c>
      <c r="Y18" s="51" t="e">
        <f>MIN(Y16,MAX(0,财务计划现金流量表!Y39-财务计划现金流量表!Y38))</f>
        <v>#VALUE!</v>
      </c>
      <c r="Z18" s="51" t="e">
        <f>MIN(Z16,MAX(0,财务计划现金流量表!Z39-财务计划现金流量表!Z38))</f>
        <v>#VALUE!</v>
      </c>
      <c r="AA18" s="51" t="e">
        <f>MIN(AA16,MAX(0,财务计划现金流量表!AA39-财务计划现金流量表!AA38))</f>
        <v>#VALUE!</v>
      </c>
      <c r="AB18" s="51" t="e">
        <f>MIN(AB16,MAX(0,财务计划现金流量表!AB39-财务计划现金流量表!AB38))</f>
        <v>#VALUE!</v>
      </c>
      <c r="AC18" s="51" t="e">
        <f>MIN(AC16,MAX(0,财务计划现金流量表!AC39-财务计划现金流量表!AC38))</f>
        <v>#VALUE!</v>
      </c>
    </row>
    <row r="19" ht="15" customHeight="1" spans="1:29">
      <c r="A19" s="29">
        <v>3.2</v>
      </c>
      <c r="B19" s="24" t="s">
        <v>502</v>
      </c>
      <c r="C19" s="51" t="e">
        <f>SUM(D19:AC19)</f>
        <v>#VALUE!</v>
      </c>
      <c r="D19" s="51">
        <f>D16*基本参数!$B$31/100</f>
        <v>0</v>
      </c>
      <c r="E19" s="51">
        <f>E16*基本参数!$B$31/100</f>
        <v>0</v>
      </c>
      <c r="F19" s="51" t="e">
        <f>F16*基本参数!$B$31/100</f>
        <v>#VALUE!</v>
      </c>
      <c r="G19" s="51" t="e">
        <f>G16*基本参数!$B$31/100</f>
        <v>#VALUE!</v>
      </c>
      <c r="H19" s="51" t="e">
        <f>H16*基本参数!$B$31/100</f>
        <v>#VALUE!</v>
      </c>
      <c r="I19" s="51" t="e">
        <f>I16*基本参数!$B$31/100</f>
        <v>#VALUE!</v>
      </c>
      <c r="J19" s="51" t="e">
        <f>J16*基本参数!$B$31/100</f>
        <v>#VALUE!</v>
      </c>
      <c r="K19" s="51" t="e">
        <f>K16*基本参数!$B$31/100</f>
        <v>#VALUE!</v>
      </c>
      <c r="L19" s="51" t="e">
        <f>L16*基本参数!$B$31/100</f>
        <v>#VALUE!</v>
      </c>
      <c r="M19" s="51" t="e">
        <f>M16*基本参数!$B$31/100</f>
        <v>#VALUE!</v>
      </c>
      <c r="N19" s="51" t="e">
        <f>N16*基本参数!$B$31/100</f>
        <v>#VALUE!</v>
      </c>
      <c r="O19" s="51" t="e">
        <f>O16*基本参数!$B$31/100</f>
        <v>#VALUE!</v>
      </c>
      <c r="P19" s="51" t="e">
        <f>P16*基本参数!$B$31/100</f>
        <v>#VALUE!</v>
      </c>
      <c r="Q19" s="51" t="e">
        <f>Q16*基本参数!$B$31/100</f>
        <v>#VALUE!</v>
      </c>
      <c r="R19" s="51" t="e">
        <f>R16*基本参数!$B$31/100</f>
        <v>#VALUE!</v>
      </c>
      <c r="S19" s="51" t="e">
        <f>S16*基本参数!$B$31/100</f>
        <v>#VALUE!</v>
      </c>
      <c r="T19" s="51" t="e">
        <f>T16*基本参数!$B$31/100</f>
        <v>#VALUE!</v>
      </c>
      <c r="U19" s="51" t="e">
        <f>U16*基本参数!$B$31/100</f>
        <v>#VALUE!</v>
      </c>
      <c r="V19" s="51" t="e">
        <f>V16*基本参数!$B$31/100</f>
        <v>#VALUE!</v>
      </c>
      <c r="W19" s="51" t="e">
        <f>W16*基本参数!$B$31/100</f>
        <v>#VALUE!</v>
      </c>
      <c r="X19" s="51" t="e">
        <f>X16*基本参数!$B$31/100</f>
        <v>#VALUE!</v>
      </c>
      <c r="Y19" s="51" t="e">
        <f>Y16*基本参数!$B$31/100</f>
        <v>#VALUE!</v>
      </c>
      <c r="Z19" s="51" t="e">
        <f>Z16*基本参数!$B$31/100</f>
        <v>#VALUE!</v>
      </c>
      <c r="AA19" s="51" t="e">
        <f>AA16*基本参数!$B$31/100</f>
        <v>#VALUE!</v>
      </c>
      <c r="AB19" s="51" t="e">
        <f>AB16*基本参数!$B$31/100</f>
        <v>#VALUE!</v>
      </c>
      <c r="AC19" s="51" t="e">
        <f>AC16*基本参数!$B$31/100</f>
        <v>#VALUE!</v>
      </c>
    </row>
    <row r="20" ht="15" customHeight="1" spans="1:29">
      <c r="A20" s="25"/>
      <c r="B20" s="24" t="s">
        <v>503</v>
      </c>
      <c r="C20" s="51"/>
      <c r="D20" s="51">
        <f t="shared" ref="D20:AC20" si="4">D16-D18+D17</f>
        <v>0</v>
      </c>
      <c r="E20" s="51" t="e">
        <f t="shared" si="4"/>
        <v>#VALUE!</v>
      </c>
      <c r="F20" s="51" t="e">
        <f t="shared" si="4"/>
        <v>#VALUE!</v>
      </c>
      <c r="G20" s="51" t="e">
        <f t="shared" si="4"/>
        <v>#VALUE!</v>
      </c>
      <c r="H20" s="51" t="e">
        <f t="shared" si="4"/>
        <v>#VALUE!</v>
      </c>
      <c r="I20" s="51" t="e">
        <f t="shared" si="4"/>
        <v>#VALUE!</v>
      </c>
      <c r="J20" s="51" t="e">
        <f t="shared" si="4"/>
        <v>#VALUE!</v>
      </c>
      <c r="K20" s="51" t="e">
        <f t="shared" si="4"/>
        <v>#VALUE!</v>
      </c>
      <c r="L20" s="51" t="e">
        <f t="shared" si="4"/>
        <v>#VALUE!</v>
      </c>
      <c r="M20" s="51" t="e">
        <f t="shared" si="4"/>
        <v>#VALUE!</v>
      </c>
      <c r="N20" s="51" t="e">
        <f t="shared" si="4"/>
        <v>#VALUE!</v>
      </c>
      <c r="O20" s="51" t="e">
        <f t="shared" si="4"/>
        <v>#VALUE!</v>
      </c>
      <c r="P20" s="51" t="e">
        <f t="shared" si="4"/>
        <v>#VALUE!</v>
      </c>
      <c r="Q20" s="51" t="e">
        <f t="shared" si="4"/>
        <v>#VALUE!</v>
      </c>
      <c r="R20" s="51" t="e">
        <f t="shared" si="4"/>
        <v>#VALUE!</v>
      </c>
      <c r="S20" s="51" t="e">
        <f t="shared" si="4"/>
        <v>#VALUE!</v>
      </c>
      <c r="T20" s="51" t="e">
        <f t="shared" si="4"/>
        <v>#VALUE!</v>
      </c>
      <c r="U20" s="51" t="e">
        <f t="shared" si="4"/>
        <v>#VALUE!</v>
      </c>
      <c r="V20" s="51" t="e">
        <f t="shared" si="4"/>
        <v>#VALUE!</v>
      </c>
      <c r="W20" s="51" t="e">
        <f t="shared" si="4"/>
        <v>#VALUE!</v>
      </c>
      <c r="X20" s="51" t="e">
        <f t="shared" si="4"/>
        <v>#VALUE!</v>
      </c>
      <c r="Y20" s="51" t="e">
        <f t="shared" si="4"/>
        <v>#VALUE!</v>
      </c>
      <c r="Z20" s="51" t="e">
        <f t="shared" si="4"/>
        <v>#VALUE!</v>
      </c>
      <c r="AA20" s="51" t="e">
        <f t="shared" si="4"/>
        <v>#VALUE!</v>
      </c>
      <c r="AB20" s="51" t="e">
        <f t="shared" si="4"/>
        <v>#VALUE!</v>
      </c>
      <c r="AC20" s="51" t="e">
        <f t="shared" si="4"/>
        <v>#VALUE!</v>
      </c>
    </row>
    <row r="21" ht="15" customHeight="1" spans="1:29">
      <c r="A21" s="108" t="s">
        <v>504</v>
      </c>
      <c r="B21" s="24" t="s">
        <v>505</v>
      </c>
      <c r="C21" s="51"/>
      <c r="D21" s="51">
        <v>0</v>
      </c>
      <c r="E21" s="51" t="e">
        <f>IF(COLUMN()-3&lt;=(基本参数!$B$33+1),利润与利润分配表!E29/总成本费用表!E12,0)</f>
        <v>#VALUE!</v>
      </c>
      <c r="F21" s="51" t="e">
        <f>IF(COLUMN()-3&lt;=(基本参数!$B$33+1),利润与利润分配表!F29/总成本费用表!F12,0)</f>
        <v>#VALUE!</v>
      </c>
      <c r="G21" s="51" t="e">
        <f>IF(COLUMN()-3&lt;=(基本参数!$B$33+1),利润与利润分配表!G29/总成本费用表!G12,0)</f>
        <v>#VALUE!</v>
      </c>
      <c r="H21" s="51" t="e">
        <f>IF(COLUMN()-3&lt;=(基本参数!$B$33+1),利润与利润分配表!H29/总成本费用表!H12,0)</f>
        <v>#VALUE!</v>
      </c>
      <c r="I21" s="51" t="e">
        <f>IF(COLUMN()-3&lt;=(基本参数!$B$33+1),利润与利润分配表!I29/总成本费用表!I12,0)</f>
        <v>#VALUE!</v>
      </c>
      <c r="J21" s="51" t="e">
        <f>IF(COLUMN()-3&lt;=(基本参数!$B$33+1),利润与利润分配表!J29/总成本费用表!J12,0)</f>
        <v>#VALUE!</v>
      </c>
      <c r="K21" s="51" t="e">
        <f>IF(COLUMN()-3&lt;=(基本参数!$B$33+1),利润与利润分配表!K29/总成本费用表!K12,0)</f>
        <v>#VALUE!</v>
      </c>
      <c r="L21" s="51" t="e">
        <f>IF(COLUMN()-3&lt;=(基本参数!$B$33+1),利润与利润分配表!L29/总成本费用表!L12,0)</f>
        <v>#VALUE!</v>
      </c>
      <c r="M21" s="51" t="e">
        <f>IF(COLUMN()-3&lt;=(基本参数!$B$33+1),利润与利润分配表!M29/总成本费用表!M12,0)</f>
        <v>#VALUE!</v>
      </c>
      <c r="N21" s="51" t="e">
        <f>IF(COLUMN()-3&lt;=(基本参数!$B$33+1),利润与利润分配表!N29/总成本费用表!N12,0)</f>
        <v>#VALUE!</v>
      </c>
      <c r="O21" s="51" t="e">
        <f>IF(COLUMN()-3&lt;=(基本参数!$B$33+1),利润与利润分配表!O29/总成本费用表!O12,0)</f>
        <v>#VALUE!</v>
      </c>
      <c r="P21" s="51" t="e">
        <f>IF(COLUMN()-3&lt;=(基本参数!$B$33+1),利润与利润分配表!P29/总成本费用表!P12,0)</f>
        <v>#VALUE!</v>
      </c>
      <c r="Q21" s="51" t="e">
        <f>IF(COLUMN()-3&lt;=(基本参数!$B$33+1),利润与利润分配表!Q29/总成本费用表!Q12,0)</f>
        <v>#VALUE!</v>
      </c>
      <c r="R21" s="51" t="e">
        <f>IF(COLUMN()-3&lt;=(基本参数!$B$33+1),利润与利润分配表!R29/总成本费用表!R12,0)</f>
        <v>#VALUE!</v>
      </c>
      <c r="S21" s="51" t="e">
        <f>IF(COLUMN()-3&lt;=(基本参数!$B$33+1),利润与利润分配表!S29/总成本费用表!S12,0)</f>
        <v>#VALUE!</v>
      </c>
      <c r="T21" s="51">
        <f>IF(COLUMN()-3&lt;=(基本参数!$B$33+1),利润与利润分配表!T29/总成本费用表!T12,0)</f>
        <v>0</v>
      </c>
      <c r="U21" s="51">
        <f>IF(COLUMN()-3&lt;=(基本参数!$B$33+1),利润与利润分配表!U29/总成本费用表!U12,0)</f>
        <v>0</v>
      </c>
      <c r="V21" s="51">
        <f>IF(COLUMN()-3&lt;=(基本参数!$B$33+1),利润与利润分配表!V29/总成本费用表!V12,0)</f>
        <v>0</v>
      </c>
      <c r="W21" s="51">
        <f>IF(COLUMN()-3&lt;=(基本参数!$B$33+1),利润与利润分配表!W29/总成本费用表!W12,0)</f>
        <v>0</v>
      </c>
      <c r="X21" s="51">
        <f>IF(COLUMN()-3&lt;=(基本参数!$B$33+1),利润与利润分配表!X29/总成本费用表!X12,0)</f>
        <v>0</v>
      </c>
      <c r="Y21" s="51">
        <f>IF(COLUMN()-3&lt;=(基本参数!$B$33+1),利润与利润分配表!Y29/总成本费用表!Y12,0)</f>
        <v>0</v>
      </c>
      <c r="Z21" s="51">
        <f>IF(COLUMN()-3&lt;=(基本参数!$B$33+1),利润与利润分配表!Z29/总成本费用表!Z12,0)</f>
        <v>0</v>
      </c>
      <c r="AA21" s="51">
        <f>IF(COLUMN()-3&lt;=(基本参数!$B$33+1),利润与利润分配表!AA29/总成本费用表!AA12,0)</f>
        <v>0</v>
      </c>
      <c r="AB21" s="51">
        <f>IF(COLUMN()-3&lt;=(基本参数!$B$33+1),利润与利润分配表!AB29/总成本费用表!AB12,0)</f>
        <v>0</v>
      </c>
      <c r="AC21" s="51">
        <f>IF(COLUMN()-3&lt;=(基本参数!$B$33+1),利润与利润分配表!AC29/总成本费用表!AC12,0)</f>
        <v>0</v>
      </c>
    </row>
    <row r="22" ht="15" customHeight="1" spans="1:29">
      <c r="A22" s="109"/>
      <c r="B22" s="24" t="s">
        <v>506</v>
      </c>
      <c r="C22" s="51"/>
      <c r="D22" s="51">
        <v>0</v>
      </c>
      <c r="E22" s="51" t="e">
        <f>IF(COLUMN()-3&lt;=(基本参数!$B$33+1),(利润与利润分配表!E30-利润与利润分配表!E20)/((E8+E9)+(E14+E13)+(E18+E19)),0)</f>
        <v>#VALUE!</v>
      </c>
      <c r="F22" s="51" t="e">
        <f>IF(COLUMN()-3&lt;=(基本参数!$B$33+1),(利润与利润分配表!F30-利润与利润分配表!F20)/((F8+F9)+(F14+F13)+(F18+F19)),0)</f>
        <v>#VALUE!</v>
      </c>
      <c r="G22" s="51" t="e">
        <f>IF(COLUMN()-3&lt;=(基本参数!$B$33+1),(利润与利润分配表!G30-利润与利润分配表!G20)/((G8+G9)+(G14+G13)+(G18+G19)),0)</f>
        <v>#VALUE!</v>
      </c>
      <c r="H22" s="51" t="e">
        <f>IF(COLUMN()-3&lt;=(基本参数!$B$33+1),(利润与利润分配表!H30-利润与利润分配表!H20)/((H8+H9)+(H14+H13)+(H18+H19)),0)</f>
        <v>#VALUE!</v>
      </c>
      <c r="I22" s="51" t="e">
        <f>IF(COLUMN()-3&lt;=(基本参数!$B$33+1),(利润与利润分配表!I30-利润与利润分配表!I20)/((I8+I9)+(I14+I13)+(I18+I19)),0)</f>
        <v>#VALUE!</v>
      </c>
      <c r="J22" s="51" t="e">
        <f>IF(COLUMN()-3&lt;=(基本参数!$B$33+1),(利润与利润分配表!J30-利润与利润分配表!J20)/((J8+J9)+(J14+J13)+(J18+J19)),0)</f>
        <v>#VALUE!</v>
      </c>
      <c r="K22" s="51" t="e">
        <f>IF(COLUMN()-3&lt;=(基本参数!$B$33+1),(利润与利润分配表!K30-利润与利润分配表!K20)/((K8+K9)+(K14+K13)+(K18+K19)),0)</f>
        <v>#VALUE!</v>
      </c>
      <c r="L22" s="51" t="e">
        <f>IF(COLUMN()-3&lt;=(基本参数!$B$33+1),(利润与利润分配表!L30-利润与利润分配表!L20)/((L8+L9)+(L14+L13)+(L18+L19)),0)</f>
        <v>#VALUE!</v>
      </c>
      <c r="M22" s="51" t="e">
        <f>IF(COLUMN()-3&lt;=(基本参数!$B$33+1),(利润与利润分配表!M30-利润与利润分配表!M20)/((M8+M9)+(M14+M13)+(M18+M19)),0)</f>
        <v>#VALUE!</v>
      </c>
      <c r="N22" s="51" t="e">
        <f>IF(COLUMN()-3&lt;=(基本参数!$B$33+1),(利润与利润分配表!N30-利润与利润分配表!N20)/((N8+N9)+(N14+N13)+(N18+N19)),0)</f>
        <v>#VALUE!</v>
      </c>
      <c r="O22" s="51" t="e">
        <f>IF(COLUMN()-3&lt;=(基本参数!$B$33+1),(利润与利润分配表!O30-利润与利润分配表!O20)/((O8+O9)+(O14+O13)+(O18+O19)),0)</f>
        <v>#VALUE!</v>
      </c>
      <c r="P22" s="51" t="e">
        <f>IF(COLUMN()-3&lt;=(基本参数!$B$33+1),(利润与利润分配表!P30-利润与利润分配表!P20)/((P8+P9)+(P14+P13)+(P18+P19)),0)</f>
        <v>#VALUE!</v>
      </c>
      <c r="Q22" s="51" t="e">
        <f>IF(COLUMN()-3&lt;=(基本参数!$B$33+1),(利润与利润分配表!Q30-利润与利润分配表!Q20)/((Q8+Q9)+(Q14+Q13)+(Q18+Q19)),0)</f>
        <v>#VALUE!</v>
      </c>
      <c r="R22" s="51" t="e">
        <f>IF(COLUMN()-3&lt;=(基本参数!$B$33+1),(利润与利润分配表!R30-利润与利润分配表!R20)/((R8+R9)+(R14+R13)+(R18+R19)),0)</f>
        <v>#VALUE!</v>
      </c>
      <c r="S22" s="51" t="e">
        <f>IF(COLUMN()-3&lt;=(基本参数!$B$33+1),(利润与利润分配表!S30-利润与利润分配表!S20)/((S8+S9)+(S14+S13)+(S18+S19)),0)</f>
        <v>#VALUE!</v>
      </c>
      <c r="T22" s="51">
        <f>IF(COLUMN()-3&lt;=(基本参数!$B$33+1),(利润与利润分配表!T30-利润与利润分配表!T20)/((T8+T9)+(T14+T13)+(T18+T19)),0)</f>
        <v>0</v>
      </c>
      <c r="U22" s="51">
        <f>IF(COLUMN()-3&lt;=(基本参数!$B$33+1),(利润与利润分配表!U30-利润与利润分配表!U20)/((U8+U9)+(U14+U13)+(U18+U19)),0)</f>
        <v>0</v>
      </c>
      <c r="V22" s="51">
        <f>IF(COLUMN()-3&lt;=(基本参数!$B$33+1),(利润与利润分配表!V30-利润与利润分配表!V20)/((V8+V9)+(V14+V13)+(V18+V19)),0)</f>
        <v>0</v>
      </c>
      <c r="W22" s="51">
        <f>IF(COLUMN()-3&lt;=(基本参数!$B$33+1),(利润与利润分配表!W30-利润与利润分配表!W20)/((W8+W9)+(W14+W13)+(W18+W19)),0)</f>
        <v>0</v>
      </c>
      <c r="X22" s="51">
        <f>IF(COLUMN()-3&lt;=(基本参数!$B$33+1),(利润与利润分配表!X30-利润与利润分配表!X20)/((X8+X9)+(X14+X13)+(X18+X19)),0)</f>
        <v>0</v>
      </c>
      <c r="Y22" s="51">
        <f>IF(COLUMN()-3&lt;=(基本参数!$B$33+1),(利润与利润分配表!Y30-利润与利润分配表!Y20)/((Y8+Y9)+(Y14+Y13)+(Y18+Y19)),0)</f>
        <v>0</v>
      </c>
      <c r="Z22" s="51">
        <f>IF(COLUMN()-3&lt;=(基本参数!$B$33+1),(利润与利润分配表!Z30-利润与利润分配表!Z20)/((Z8+Z9)+(Z14+Z13)+(Z18+Z19)),0)</f>
        <v>0</v>
      </c>
      <c r="AA22" s="51">
        <f>IF(COLUMN()-3&lt;=(基本参数!$B$33+1),(利润与利润分配表!AA30-利润与利润分配表!AA20)/((AA8+AA9)+(AA14+AA13)+(AA18+AA19)),0)</f>
        <v>0</v>
      </c>
      <c r="AB22" s="51">
        <f>IF(COLUMN()-3&lt;=(基本参数!$B$33+1),(利润与利润分配表!AB30-利润与利润分配表!AB20)/((AB8+AB9)+(AB14+AB13)+(AB18+AB19)),0)</f>
        <v>0</v>
      </c>
      <c r="AC22" s="51">
        <f>IF(COLUMN()-3&lt;=(基本参数!$B$33+1),(利润与利润分配表!AC30-利润与利润分配表!AC20)/((AC8+AC9)+(AC14+AC13)+(AC18+AC19)),0)</f>
        <v>0</v>
      </c>
    </row>
    <row r="23" ht="17.25" hidden="1" customHeight="1" spans="1:29">
      <c r="A23" s="110" t="s">
        <v>507</v>
      </c>
      <c r="B23" s="10" t="s">
        <v>508</v>
      </c>
      <c r="C23" s="51">
        <f>财务计划现金流量表!C37</f>
        <v>0</v>
      </c>
      <c r="D23" s="51">
        <f>财务计划现金流量表!D37</f>
        <v>0</v>
      </c>
      <c r="E23" s="51"/>
      <c r="F23" s="51"/>
      <c r="G23" s="51"/>
      <c r="H23" s="51" t="e">
        <f>财务计划现金流量表!H37</f>
        <v>#VALUE!</v>
      </c>
      <c r="I23" s="51" t="e">
        <f>财务计划现金流量表!I37</f>
        <v>#VALUE!</v>
      </c>
      <c r="J23" s="51" t="e">
        <f>财务计划现金流量表!J37</f>
        <v>#VALUE!</v>
      </c>
      <c r="K23" s="51" t="e">
        <f>财务计划现金流量表!K37</f>
        <v>#VALUE!</v>
      </c>
      <c r="L23" s="51" t="e">
        <f>财务计划现金流量表!L37</f>
        <v>#VALUE!</v>
      </c>
      <c r="M23" s="51" t="e">
        <f>财务计划现金流量表!M37</f>
        <v>#VALUE!</v>
      </c>
      <c r="N23" s="51" t="e">
        <f>财务计划现金流量表!N37</f>
        <v>#VALUE!</v>
      </c>
      <c r="O23" s="51" t="e">
        <f>财务计划现金流量表!O37</f>
        <v>#VALUE!</v>
      </c>
      <c r="P23" s="51" t="e">
        <f>财务计划现金流量表!P37</f>
        <v>#VALUE!</v>
      </c>
      <c r="Q23" s="51" t="e">
        <f>财务计划现金流量表!Q37</f>
        <v>#VALUE!</v>
      </c>
      <c r="R23" s="51" t="e">
        <f>财务计划现金流量表!R37</f>
        <v>#VALUE!</v>
      </c>
      <c r="S23" s="51" t="e">
        <f>财务计划现金流量表!S37</f>
        <v>#VALUE!</v>
      </c>
      <c r="T23" s="51" t="e">
        <f>财务计划现金流量表!T37</f>
        <v>#VALUE!</v>
      </c>
      <c r="U23" s="51" t="e">
        <f>财务计划现金流量表!U37</f>
        <v>#VALUE!</v>
      </c>
      <c r="V23" s="51" t="e">
        <f>财务计划现金流量表!V37</f>
        <v>#VALUE!</v>
      </c>
      <c r="W23" s="51" t="e">
        <f>财务计划现金流量表!W37</f>
        <v>#VALUE!</v>
      </c>
      <c r="X23" s="51" t="e">
        <f>财务计划现金流量表!X37</f>
        <v>#VALUE!</v>
      </c>
      <c r="Y23" s="51" t="e">
        <f>财务计划现金流量表!Y37</f>
        <v>#VALUE!</v>
      </c>
      <c r="Z23" s="51" t="e">
        <f>财务计划现金流量表!Z37</f>
        <v>#VALUE!</v>
      </c>
      <c r="AA23" s="51" t="e">
        <f>财务计划现金流量表!AA37</f>
        <v>#VALUE!</v>
      </c>
      <c r="AB23" s="51" t="e">
        <f>财务计划现金流量表!AB37</f>
        <v>#VALUE!</v>
      </c>
      <c r="AC23" s="51" t="e">
        <f>财务计划现金流量表!AC37</f>
        <v>#VALUE!</v>
      </c>
    </row>
    <row r="24" ht="14.25" customHeight="1" spans="1:29">
      <c r="B24" s="80"/>
    </row>
  </sheetData>
  <mergeCells count="7">
    <mergeCell ref="A1:AC1"/>
    <mergeCell ref="A2:AC2"/>
    <mergeCell ref="E3:AC3"/>
    <mergeCell ref="A3:A4"/>
    <mergeCell ref="A21:A22"/>
    <mergeCell ref="B3:B4"/>
    <mergeCell ref="C3:C4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48"/>
  <sheetViews>
    <sheetView workbookViewId="0">
      <pane xSplit="3" topLeftCell="D1" activePane="topRight" state="frozen"/>
      <selection/>
      <selection pane="topRight" activeCell="A1" sqref="A1:AC1"/>
    </sheetView>
  </sheetViews>
  <sheetFormatPr defaultColWidth="8.83333333333333" defaultRowHeight="13.5"/>
  <cols>
    <col min="1" max="1" width="8.83333333333333" style="33" customWidth="1"/>
    <col min="2" max="2" width="24.8333333333333" customWidth="1"/>
    <col min="3" max="3" width="12.8333333333333" style="3" customWidth="1"/>
    <col min="4" max="4" width="12.8333333333333" style="34" customWidth="1"/>
    <col min="5" max="29" width="12.8333333333333" style="3" customWidth="1"/>
  </cols>
  <sheetData>
    <row r="1" ht="24" customHeight="1" spans="1:29">
      <c r="A1" s="101" t="s">
        <v>509</v>
      </c>
      <c r="B1" s="61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ht="15" customHeight="1" spans="1:29">
      <c r="A2" s="70" t="s">
        <v>464</v>
      </c>
      <c r="B2" s="26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ht="15" customHeight="1" spans="1:29">
      <c r="A3" s="102" t="s">
        <v>1</v>
      </c>
      <c r="B3" s="65" t="s">
        <v>2</v>
      </c>
      <c r="C3" s="64" t="s">
        <v>465</v>
      </c>
      <c r="D3" s="42" t="s">
        <v>481</v>
      </c>
      <c r="E3" s="42" t="s">
        <v>482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ht="15" customHeight="1" spans="1:29">
      <c r="A4" s="95"/>
      <c r="B4" s="96"/>
      <c r="C4" s="46"/>
      <c r="D4" s="18" t="s">
        <v>278</v>
      </c>
      <c r="E4" s="103" t="s">
        <v>279</v>
      </c>
      <c r="F4" s="103" t="s">
        <v>280</v>
      </c>
      <c r="G4" s="103" t="s">
        <v>281</v>
      </c>
      <c r="H4" s="103" t="s">
        <v>282</v>
      </c>
      <c r="I4" s="103" t="s">
        <v>327</v>
      </c>
      <c r="J4" s="103" t="s">
        <v>328</v>
      </c>
      <c r="K4" s="103" t="s">
        <v>329</v>
      </c>
      <c r="L4" s="103" t="s">
        <v>330</v>
      </c>
      <c r="M4" s="103" t="s">
        <v>331</v>
      </c>
      <c r="N4" s="103" t="s">
        <v>332</v>
      </c>
      <c r="O4" s="103" t="s">
        <v>333</v>
      </c>
      <c r="P4" s="103" t="s">
        <v>334</v>
      </c>
      <c r="Q4" s="103" t="s">
        <v>335</v>
      </c>
      <c r="R4" s="103" t="s">
        <v>336</v>
      </c>
      <c r="S4" s="103" t="s">
        <v>337</v>
      </c>
      <c r="T4" s="103" t="s">
        <v>338</v>
      </c>
      <c r="U4" s="103" t="s">
        <v>339</v>
      </c>
      <c r="V4" s="103" t="s">
        <v>340</v>
      </c>
      <c r="W4" s="103" t="s">
        <v>341</v>
      </c>
      <c r="X4" s="103" t="s">
        <v>342</v>
      </c>
      <c r="Y4" s="103" t="s">
        <v>343</v>
      </c>
      <c r="Z4" s="103" t="s">
        <v>344</v>
      </c>
      <c r="AA4" s="103" t="s">
        <v>345</v>
      </c>
      <c r="AB4" s="103" t="s">
        <v>346</v>
      </c>
      <c r="AC4" s="103" t="s">
        <v>347</v>
      </c>
    </row>
    <row r="5" ht="15" customHeight="1" spans="1:29">
      <c r="A5" s="68">
        <v>1</v>
      </c>
      <c r="B5" s="24" t="s">
        <v>510</v>
      </c>
      <c r="C5" s="51" t="e">
        <f>SUM(D5:AC5)</f>
        <v>#VALUE!</v>
      </c>
      <c r="D5" s="51">
        <f>收入和税金!C10</f>
        <v>0</v>
      </c>
      <c r="E5" s="51" t="e">
        <f>收入和税金!D10</f>
        <v>#VALUE!</v>
      </c>
      <c r="F5" s="51" t="e">
        <f>收入和税金!E10</f>
        <v>#VALUE!</v>
      </c>
      <c r="G5" s="51" t="e">
        <f>收入和税金!F10</f>
        <v>#VALUE!</v>
      </c>
      <c r="H5" s="51" t="e">
        <f>收入和税金!G10</f>
        <v>#VALUE!</v>
      </c>
      <c r="I5" s="51" t="e">
        <f>收入和税金!H10</f>
        <v>#VALUE!</v>
      </c>
      <c r="J5" s="51" t="e">
        <f>收入和税金!I10</f>
        <v>#VALUE!</v>
      </c>
      <c r="K5" s="51" t="e">
        <f>收入和税金!J10</f>
        <v>#VALUE!</v>
      </c>
      <c r="L5" s="51" t="e">
        <f>收入和税金!K10</f>
        <v>#VALUE!</v>
      </c>
      <c r="M5" s="51" t="e">
        <f>收入和税金!L10</f>
        <v>#VALUE!</v>
      </c>
      <c r="N5" s="51" t="e">
        <f>收入和税金!M10</f>
        <v>#VALUE!</v>
      </c>
      <c r="O5" s="51" t="e">
        <f>收入和税金!N10</f>
        <v>#VALUE!</v>
      </c>
      <c r="P5" s="51" t="e">
        <f>收入和税金!O10</f>
        <v>#VALUE!</v>
      </c>
      <c r="Q5" s="51" t="e">
        <f>收入和税金!P10</f>
        <v>#VALUE!</v>
      </c>
      <c r="R5" s="51" t="e">
        <f>收入和税金!Q10</f>
        <v>#VALUE!</v>
      </c>
      <c r="S5" s="51" t="e">
        <f>收入和税金!R10</f>
        <v>#VALUE!</v>
      </c>
      <c r="T5" s="51" t="e">
        <f>收入和税金!S10</f>
        <v>#VALUE!</v>
      </c>
      <c r="U5" s="51" t="e">
        <f>收入和税金!T10</f>
        <v>#VALUE!</v>
      </c>
      <c r="V5" s="51" t="e">
        <f>收入和税金!U10</f>
        <v>#VALUE!</v>
      </c>
      <c r="W5" s="51" t="e">
        <f>收入和税金!V10</f>
        <v>#VALUE!</v>
      </c>
      <c r="X5" s="51" t="e">
        <f>收入和税金!W10</f>
        <v>#VALUE!</v>
      </c>
      <c r="Y5" s="51" t="e">
        <f>收入和税金!X10</f>
        <v>#VALUE!</v>
      </c>
      <c r="Z5" s="51" t="e">
        <f>收入和税金!Y10</f>
        <v>#VALUE!</v>
      </c>
      <c r="AA5" s="51" t="e">
        <f>收入和税金!Z10</f>
        <v>#VALUE!</v>
      </c>
      <c r="AB5" s="51" t="e">
        <f>收入和税金!AA10</f>
        <v>#VALUE!</v>
      </c>
      <c r="AC5" s="51" t="e">
        <f>收入和税金!AB10</f>
        <v>#VALUE!</v>
      </c>
    </row>
    <row r="6" ht="15" customHeight="1" spans="1:29">
      <c r="A6" s="68">
        <v>2</v>
      </c>
      <c r="B6" s="24" t="s">
        <v>511</v>
      </c>
      <c r="C6" s="51"/>
      <c r="D6" s="51">
        <f>电价电量计算表!C13</f>
        <v>0</v>
      </c>
      <c r="E6" s="51" t="e">
        <f>电价电量计算表!D13</f>
        <v>#VALUE!</v>
      </c>
      <c r="F6" s="51" t="e">
        <f>电价电量计算表!E13</f>
        <v>#VALUE!</v>
      </c>
      <c r="G6" s="51" t="e">
        <f>电价电量计算表!F13</f>
        <v>#VALUE!</v>
      </c>
      <c r="H6" s="51" t="e">
        <f>电价电量计算表!G13</f>
        <v>#VALUE!</v>
      </c>
      <c r="I6" s="51" t="e">
        <f>电价电量计算表!H13</f>
        <v>#VALUE!</v>
      </c>
      <c r="J6" s="51" t="e">
        <f>电价电量计算表!I13</f>
        <v>#VALUE!</v>
      </c>
      <c r="K6" s="51" t="e">
        <f>电价电量计算表!J13</f>
        <v>#VALUE!</v>
      </c>
      <c r="L6" s="51" t="e">
        <f>电价电量计算表!K13</f>
        <v>#VALUE!</v>
      </c>
      <c r="M6" s="51" t="e">
        <f>电价电量计算表!L13</f>
        <v>#VALUE!</v>
      </c>
      <c r="N6" s="51" t="e">
        <f>电价电量计算表!M13</f>
        <v>#VALUE!</v>
      </c>
      <c r="O6" s="51" t="e">
        <f>电价电量计算表!N13</f>
        <v>#VALUE!</v>
      </c>
      <c r="P6" s="51" t="e">
        <f>电价电量计算表!O13</f>
        <v>#VALUE!</v>
      </c>
      <c r="Q6" s="51" t="e">
        <f>电价电量计算表!P13</f>
        <v>#VALUE!</v>
      </c>
      <c r="R6" s="51" t="e">
        <f>电价电量计算表!Q13</f>
        <v>#VALUE!</v>
      </c>
      <c r="S6" s="51" t="e">
        <f>电价电量计算表!R13</f>
        <v>#VALUE!</v>
      </c>
      <c r="T6" s="51" t="e">
        <f>电价电量计算表!S13</f>
        <v>#VALUE!</v>
      </c>
      <c r="U6" s="51" t="e">
        <f>电价电量计算表!T13</f>
        <v>#VALUE!</v>
      </c>
      <c r="V6" s="51" t="e">
        <f>电价电量计算表!U13</f>
        <v>#VALUE!</v>
      </c>
      <c r="W6" s="51" t="e">
        <f>电价电量计算表!V13</f>
        <v>#VALUE!</v>
      </c>
      <c r="X6" s="51" t="e">
        <f>电价电量计算表!W13</f>
        <v>#VALUE!</v>
      </c>
      <c r="Y6" s="51" t="e">
        <f>电价电量计算表!X13</f>
        <v>#VALUE!</v>
      </c>
      <c r="Z6" s="51" t="e">
        <f>电价电量计算表!Y13</f>
        <v>#VALUE!</v>
      </c>
      <c r="AA6" s="51" t="e">
        <f>电价电量计算表!Z13</f>
        <v>#VALUE!</v>
      </c>
      <c r="AB6" s="51" t="e">
        <f>电价电量计算表!AA13</f>
        <v>#VALUE!</v>
      </c>
      <c r="AC6" s="51" t="e">
        <f>电价电量计算表!AB13</f>
        <v>#VALUE!</v>
      </c>
    </row>
    <row r="7" ht="15" customHeight="1" spans="1:29">
      <c r="A7" s="68">
        <v>3</v>
      </c>
      <c r="B7" s="24" t="s">
        <v>512</v>
      </c>
      <c r="C7" s="51"/>
      <c r="D7" s="51">
        <f>D6/(1+收入和税金!C16%)</f>
        <v>0</v>
      </c>
      <c r="E7" s="51" t="e">
        <f>E6/(1+收入和税金!D16%)</f>
        <v>#VALUE!</v>
      </c>
      <c r="F7" s="51" t="e">
        <f>F6/(1+收入和税金!E16%)</f>
        <v>#VALUE!</v>
      </c>
      <c r="G7" s="51" t="e">
        <f>G6/(1+收入和税金!F16%)</f>
        <v>#VALUE!</v>
      </c>
      <c r="H7" s="51" t="e">
        <f>H6/(1+收入和税金!G16%)</f>
        <v>#VALUE!</v>
      </c>
      <c r="I7" s="51" t="e">
        <f>I6/(1+收入和税金!H16%)</f>
        <v>#VALUE!</v>
      </c>
      <c r="J7" s="51" t="e">
        <f>J6/(1+收入和税金!I16%)</f>
        <v>#VALUE!</v>
      </c>
      <c r="K7" s="51" t="e">
        <f>K6/(1+收入和税金!J16%)</f>
        <v>#VALUE!</v>
      </c>
      <c r="L7" s="51" t="e">
        <f>L6/(1+收入和税金!K16%)</f>
        <v>#VALUE!</v>
      </c>
      <c r="M7" s="51" t="e">
        <f>M6/(1+收入和税金!L16%)</f>
        <v>#VALUE!</v>
      </c>
      <c r="N7" s="51" t="e">
        <f>N6/(1+收入和税金!M16%)</f>
        <v>#VALUE!</v>
      </c>
      <c r="O7" s="51" t="e">
        <f>O6/(1+收入和税金!N16%)</f>
        <v>#VALUE!</v>
      </c>
      <c r="P7" s="51" t="e">
        <f>P6/(1+收入和税金!O16%)</f>
        <v>#VALUE!</v>
      </c>
      <c r="Q7" s="51" t="e">
        <f>Q6/(1+收入和税金!P16%)</f>
        <v>#VALUE!</v>
      </c>
      <c r="R7" s="51" t="e">
        <f>R6/(1+收入和税金!Q16%)</f>
        <v>#VALUE!</v>
      </c>
      <c r="S7" s="51" t="e">
        <f>S6/(1+收入和税金!R16%)</f>
        <v>#VALUE!</v>
      </c>
      <c r="T7" s="51" t="e">
        <f>T6/(1+收入和税金!S16%)</f>
        <v>#VALUE!</v>
      </c>
      <c r="U7" s="51" t="e">
        <f>U6/(1+收入和税金!T16%)</f>
        <v>#VALUE!</v>
      </c>
      <c r="V7" s="51" t="e">
        <f>V6/(1+收入和税金!U16%)</f>
        <v>#VALUE!</v>
      </c>
      <c r="W7" s="51" t="e">
        <f>W6/(1+收入和税金!V16%)</f>
        <v>#VALUE!</v>
      </c>
      <c r="X7" s="51" t="e">
        <f>X6/(1+收入和税金!W16%)</f>
        <v>#VALUE!</v>
      </c>
      <c r="Y7" s="51" t="e">
        <f>Y6/(1+收入和税金!X16%)</f>
        <v>#VALUE!</v>
      </c>
      <c r="Z7" s="51" t="e">
        <f>Z6/(1+收入和税金!Y16%)</f>
        <v>#VALUE!</v>
      </c>
      <c r="AA7" s="51" t="e">
        <f>AA6/(1+收入和税金!Z16%)</f>
        <v>#VALUE!</v>
      </c>
      <c r="AB7" s="51" t="e">
        <f>AB6/(1+收入和税金!AA16%)</f>
        <v>#VALUE!</v>
      </c>
      <c r="AC7" s="51" t="e">
        <f>AC6/(1+收入和税金!AB16%)</f>
        <v>#VALUE!</v>
      </c>
    </row>
    <row r="8" ht="15" customHeight="1" spans="1:29">
      <c r="A8" s="68">
        <v>4</v>
      </c>
      <c r="B8" s="24" t="s">
        <v>513</v>
      </c>
      <c r="C8" s="51" t="e">
        <f>SUM(D8:AC8)</f>
        <v>#VALUE!</v>
      </c>
      <c r="D8" s="51">
        <f t="shared" ref="D8:AC8" si="0">D9+D10+D11</f>
        <v>0</v>
      </c>
      <c r="E8" s="51" t="e">
        <f t="shared" si="0"/>
        <v>#VALUE!</v>
      </c>
      <c r="F8" s="51" t="e">
        <f t="shared" si="0"/>
        <v>#VALUE!</v>
      </c>
      <c r="G8" s="51" t="e">
        <f t="shared" si="0"/>
        <v>#VALUE!</v>
      </c>
      <c r="H8" s="51" t="e">
        <f t="shared" si="0"/>
        <v>#VALUE!</v>
      </c>
      <c r="I8" s="51" t="e">
        <f t="shared" si="0"/>
        <v>#VALUE!</v>
      </c>
      <c r="J8" s="51" t="e">
        <f t="shared" si="0"/>
        <v>#VALUE!</v>
      </c>
      <c r="K8" s="51" t="e">
        <f t="shared" si="0"/>
        <v>#VALUE!</v>
      </c>
      <c r="L8" s="51" t="e">
        <f t="shared" si="0"/>
        <v>#VALUE!</v>
      </c>
      <c r="M8" s="51" t="e">
        <f t="shared" si="0"/>
        <v>#VALUE!</v>
      </c>
      <c r="N8" s="51" t="e">
        <f t="shared" si="0"/>
        <v>#VALUE!</v>
      </c>
      <c r="O8" s="51" t="e">
        <f t="shared" si="0"/>
        <v>#VALUE!</v>
      </c>
      <c r="P8" s="51" t="e">
        <f t="shared" si="0"/>
        <v>#VALUE!</v>
      </c>
      <c r="Q8" s="51" t="e">
        <f t="shared" si="0"/>
        <v>#VALUE!</v>
      </c>
      <c r="R8" s="51" t="e">
        <f t="shared" si="0"/>
        <v>#VALUE!</v>
      </c>
      <c r="S8" s="51" t="e">
        <f t="shared" si="0"/>
        <v>#VALUE!</v>
      </c>
      <c r="T8" s="51" t="e">
        <f t="shared" si="0"/>
        <v>#VALUE!</v>
      </c>
      <c r="U8" s="51" t="e">
        <f t="shared" si="0"/>
        <v>#VALUE!</v>
      </c>
      <c r="V8" s="51" t="e">
        <f t="shared" si="0"/>
        <v>#VALUE!</v>
      </c>
      <c r="W8" s="51" t="e">
        <f t="shared" si="0"/>
        <v>#VALUE!</v>
      </c>
      <c r="X8" s="51" t="e">
        <f t="shared" si="0"/>
        <v>#VALUE!</v>
      </c>
      <c r="Y8" s="51" t="e">
        <f t="shared" si="0"/>
        <v>#VALUE!</v>
      </c>
      <c r="Z8" s="51" t="e">
        <f t="shared" si="0"/>
        <v>#VALUE!</v>
      </c>
      <c r="AA8" s="51" t="e">
        <f t="shared" si="0"/>
        <v>#VALUE!</v>
      </c>
      <c r="AB8" s="51" t="e">
        <f t="shared" si="0"/>
        <v>#VALUE!</v>
      </c>
      <c r="AC8" s="51" t="e">
        <f t="shared" si="0"/>
        <v>#VALUE!</v>
      </c>
    </row>
    <row r="9" ht="15" customHeight="1" spans="1:29">
      <c r="A9" s="29">
        <v>4.1</v>
      </c>
      <c r="B9" s="24" t="s">
        <v>514</v>
      </c>
      <c r="C9" s="51"/>
      <c r="D9" s="51">
        <f>D7*收入和税金!C10/10</f>
        <v>0</v>
      </c>
      <c r="E9" s="51" t="e">
        <f>E7*收入和税金!D10/10</f>
        <v>#VALUE!</v>
      </c>
      <c r="F9" s="51" t="e">
        <f>F7*收入和税金!E10/10</f>
        <v>#VALUE!</v>
      </c>
      <c r="G9" s="51" t="e">
        <f>G7*收入和税金!F10/10</f>
        <v>#VALUE!</v>
      </c>
      <c r="H9" s="51" t="e">
        <f>H7*收入和税金!G10/10</f>
        <v>#VALUE!</v>
      </c>
      <c r="I9" s="51" t="e">
        <f>I7*收入和税金!H10/10</f>
        <v>#VALUE!</v>
      </c>
      <c r="J9" s="51" t="e">
        <f>J7*收入和税金!I10/10</f>
        <v>#VALUE!</v>
      </c>
      <c r="K9" s="51" t="e">
        <f>K7*收入和税金!J10/10</f>
        <v>#VALUE!</v>
      </c>
      <c r="L9" s="51" t="e">
        <f>L7*收入和税金!K10/10</f>
        <v>#VALUE!</v>
      </c>
      <c r="M9" s="51" t="e">
        <f>M7*收入和税金!L10/10</f>
        <v>#VALUE!</v>
      </c>
      <c r="N9" s="51" t="e">
        <f>N7*收入和税金!M10/10</f>
        <v>#VALUE!</v>
      </c>
      <c r="O9" s="51" t="e">
        <f>O7*收入和税金!N10/10</f>
        <v>#VALUE!</v>
      </c>
      <c r="P9" s="51" t="e">
        <f>P7*收入和税金!O10/10</f>
        <v>#VALUE!</v>
      </c>
      <c r="Q9" s="51" t="e">
        <f>Q7*收入和税金!P10/10</f>
        <v>#VALUE!</v>
      </c>
      <c r="R9" s="51" t="e">
        <f>R7*收入和税金!Q10/10</f>
        <v>#VALUE!</v>
      </c>
      <c r="S9" s="51" t="e">
        <f>S7*收入和税金!R10/10</f>
        <v>#VALUE!</v>
      </c>
      <c r="T9" s="51" t="e">
        <f>T7*收入和税金!S10/10</f>
        <v>#VALUE!</v>
      </c>
      <c r="U9" s="51" t="e">
        <f>U7*收入和税金!T10/10</f>
        <v>#VALUE!</v>
      </c>
      <c r="V9" s="51" t="e">
        <f>V7*收入和税金!U10/10</f>
        <v>#VALUE!</v>
      </c>
      <c r="W9" s="51" t="e">
        <f>W7*收入和税金!V10/10</f>
        <v>#VALUE!</v>
      </c>
      <c r="X9" s="51" t="e">
        <f>X7*收入和税金!W10/10</f>
        <v>#VALUE!</v>
      </c>
      <c r="Y9" s="51" t="e">
        <f>Y7*收入和税金!X10/10</f>
        <v>#VALUE!</v>
      </c>
      <c r="Z9" s="51" t="e">
        <f>Z7*收入和税金!Y10/10</f>
        <v>#VALUE!</v>
      </c>
      <c r="AA9" s="51" t="e">
        <f>AA7*收入和税金!Z10/10</f>
        <v>#VALUE!</v>
      </c>
      <c r="AB9" s="51" t="e">
        <f>AB7*收入和税金!AA10/10</f>
        <v>#VALUE!</v>
      </c>
      <c r="AC9" s="51" t="e">
        <f>AC7*收入和税金!AB10/10</f>
        <v>#VALUE!</v>
      </c>
    </row>
    <row r="10" ht="15" customHeight="1" spans="1:29">
      <c r="A10" s="29">
        <v>4.2</v>
      </c>
      <c r="B10" s="24" t="s">
        <v>425</v>
      </c>
      <c r="C10" s="51"/>
      <c r="D10" s="51">
        <f>收入和税金!C49</f>
        <v>0</v>
      </c>
      <c r="E10" s="51">
        <f>收入和税金!D49</f>
        <v>0</v>
      </c>
      <c r="F10" s="51">
        <f>收入和税金!E49</f>
        <v>0</v>
      </c>
      <c r="G10" s="51">
        <f>收入和税金!F49</f>
        <v>0</v>
      </c>
      <c r="H10" s="51">
        <f>收入和税金!G49</f>
        <v>0</v>
      </c>
      <c r="I10" s="51">
        <f>收入和税金!H49</f>
        <v>0</v>
      </c>
      <c r="J10" s="51">
        <f>收入和税金!I49</f>
        <v>0</v>
      </c>
      <c r="K10" s="51">
        <f>收入和税金!J49</f>
        <v>0</v>
      </c>
      <c r="L10" s="51">
        <f>收入和税金!K49</f>
        <v>0</v>
      </c>
      <c r="M10" s="51">
        <f>收入和税金!L49</f>
        <v>0</v>
      </c>
      <c r="N10" s="51">
        <f>收入和税金!M49</f>
        <v>0</v>
      </c>
      <c r="O10" s="51">
        <f>收入和税金!N49</f>
        <v>0</v>
      </c>
      <c r="P10" s="51">
        <f>收入和税金!O49</f>
        <v>0</v>
      </c>
      <c r="Q10" s="51">
        <f>收入和税金!P49</f>
        <v>0</v>
      </c>
      <c r="R10" s="51">
        <f>收入和税金!Q49</f>
        <v>0</v>
      </c>
      <c r="S10" s="51">
        <f>收入和税金!R49</f>
        <v>0</v>
      </c>
      <c r="T10" s="51">
        <f>收入和税金!S49</f>
        <v>0</v>
      </c>
      <c r="U10" s="51">
        <f>收入和税金!T49</f>
        <v>0</v>
      </c>
      <c r="V10" s="51">
        <f>收入和税金!U49</f>
        <v>0</v>
      </c>
      <c r="W10" s="51">
        <f>收入和税金!V49</f>
        <v>0</v>
      </c>
      <c r="X10" s="51">
        <f>收入和税金!W49</f>
        <v>0</v>
      </c>
      <c r="Y10" s="51">
        <f>收入和税金!X49</f>
        <v>0</v>
      </c>
      <c r="Z10" s="51">
        <f>收入和税金!Y49</f>
        <v>0</v>
      </c>
      <c r="AA10" s="51">
        <f>收入和税金!Z49</f>
        <v>0</v>
      </c>
      <c r="AB10" s="51">
        <f>收入和税金!AA49</f>
        <v>0</v>
      </c>
      <c r="AC10" s="51">
        <f>收入和税金!AB49</f>
        <v>0</v>
      </c>
    </row>
    <row r="11" ht="15" customHeight="1" spans="1:29">
      <c r="A11" s="29">
        <v>4.3</v>
      </c>
      <c r="B11" s="24" t="s">
        <v>438</v>
      </c>
      <c r="C11" s="51"/>
      <c r="D11" s="51">
        <f>收入和税金!C63</f>
        <v>0</v>
      </c>
      <c r="E11" s="51">
        <f>收入和税金!D63</f>
        <v>0</v>
      </c>
      <c r="F11" s="51">
        <f>收入和税金!E63</f>
        <v>0</v>
      </c>
      <c r="G11" s="51">
        <f>收入和税金!F63</f>
        <v>0</v>
      </c>
      <c r="H11" s="51">
        <f>收入和税金!G63</f>
        <v>0</v>
      </c>
      <c r="I11" s="51">
        <f>收入和税金!H63</f>
        <v>0</v>
      </c>
      <c r="J11" s="51">
        <f>收入和税金!I63</f>
        <v>0</v>
      </c>
      <c r="K11" s="51">
        <f>收入和税金!J63</f>
        <v>0</v>
      </c>
      <c r="L11" s="51">
        <f>收入和税金!K63</f>
        <v>0</v>
      </c>
      <c r="M11" s="51">
        <f>收入和税金!L63</f>
        <v>0</v>
      </c>
      <c r="N11" s="51">
        <f>收入和税金!M63</f>
        <v>0</v>
      </c>
      <c r="O11" s="51">
        <f>收入和税金!N63</f>
        <v>0</v>
      </c>
      <c r="P11" s="51">
        <f>收入和税金!O63</f>
        <v>0</v>
      </c>
      <c r="Q11" s="51">
        <f>收入和税金!P63</f>
        <v>0</v>
      </c>
      <c r="R11" s="51">
        <f>收入和税金!Q63</f>
        <v>0</v>
      </c>
      <c r="S11" s="51">
        <f>收入和税金!R63</f>
        <v>0</v>
      </c>
      <c r="T11" s="51">
        <f>收入和税金!S63</f>
        <v>0</v>
      </c>
      <c r="U11" s="51">
        <f>收入和税金!T63</f>
        <v>0</v>
      </c>
      <c r="V11" s="51">
        <f>收入和税金!U63</f>
        <v>0</v>
      </c>
      <c r="W11" s="51">
        <f>收入和税金!V63</f>
        <v>0</v>
      </c>
      <c r="X11" s="51">
        <f>收入和税金!W63</f>
        <v>0</v>
      </c>
      <c r="Y11" s="51">
        <f>收入和税金!X63</f>
        <v>0</v>
      </c>
      <c r="Z11" s="51">
        <f>收入和税金!Y63</f>
        <v>0</v>
      </c>
      <c r="AA11" s="51">
        <f>收入和税金!Z63</f>
        <v>0</v>
      </c>
      <c r="AB11" s="51">
        <f>收入和税金!AA63</f>
        <v>0</v>
      </c>
      <c r="AC11" s="51">
        <f>收入和税金!AB63</f>
        <v>0</v>
      </c>
    </row>
    <row r="12" ht="15" customHeight="1" spans="1:29">
      <c r="A12" s="68">
        <v>5</v>
      </c>
      <c r="B12" s="24" t="s">
        <v>515</v>
      </c>
      <c r="C12" s="51" t="e">
        <f t="shared" ref="C12:C21" si="1">SUM(D12:AC12)</f>
        <v>#VALUE!</v>
      </c>
      <c r="D12" s="51">
        <f t="shared" ref="D12:AC12" si="2">D13+D14</f>
        <v>0</v>
      </c>
      <c r="E12" s="51" t="e">
        <f t="shared" si="2"/>
        <v>#VALUE!</v>
      </c>
      <c r="F12" s="51" t="e">
        <f t="shared" si="2"/>
        <v>#VALUE!</v>
      </c>
      <c r="G12" s="51" t="e">
        <f t="shared" si="2"/>
        <v>#VALUE!</v>
      </c>
      <c r="H12" s="51" t="e">
        <f t="shared" si="2"/>
        <v>#VALUE!</v>
      </c>
      <c r="I12" s="51" t="e">
        <f t="shared" si="2"/>
        <v>#VALUE!</v>
      </c>
      <c r="J12" s="51" t="e">
        <f t="shared" si="2"/>
        <v>#VALUE!</v>
      </c>
      <c r="K12" s="51" t="e">
        <f t="shared" si="2"/>
        <v>#VALUE!</v>
      </c>
      <c r="L12" s="51" t="e">
        <f t="shared" si="2"/>
        <v>#VALUE!</v>
      </c>
      <c r="M12" s="51" t="e">
        <f t="shared" si="2"/>
        <v>#VALUE!</v>
      </c>
      <c r="N12" s="51" t="e">
        <f t="shared" si="2"/>
        <v>#VALUE!</v>
      </c>
      <c r="O12" s="51" t="e">
        <f t="shared" si="2"/>
        <v>#VALUE!</v>
      </c>
      <c r="P12" s="51" t="e">
        <f t="shared" si="2"/>
        <v>#VALUE!</v>
      </c>
      <c r="Q12" s="51" t="e">
        <f t="shared" si="2"/>
        <v>#VALUE!</v>
      </c>
      <c r="R12" s="51" t="e">
        <f t="shared" si="2"/>
        <v>#VALUE!</v>
      </c>
      <c r="S12" s="51" t="e">
        <f t="shared" si="2"/>
        <v>#VALUE!</v>
      </c>
      <c r="T12" s="51" t="e">
        <f t="shared" si="2"/>
        <v>#VALUE!</v>
      </c>
      <c r="U12" s="51" t="e">
        <f t="shared" si="2"/>
        <v>#VALUE!</v>
      </c>
      <c r="V12" s="51" t="e">
        <f t="shared" si="2"/>
        <v>#VALUE!</v>
      </c>
      <c r="W12" s="51" t="e">
        <f t="shared" si="2"/>
        <v>#VALUE!</v>
      </c>
      <c r="X12" s="51" t="e">
        <f t="shared" si="2"/>
        <v>#VALUE!</v>
      </c>
      <c r="Y12" s="51" t="e">
        <f t="shared" si="2"/>
        <v>#VALUE!</v>
      </c>
      <c r="Z12" s="51" t="e">
        <f t="shared" si="2"/>
        <v>#VALUE!</v>
      </c>
      <c r="AA12" s="51" t="e">
        <f t="shared" si="2"/>
        <v>#VALUE!</v>
      </c>
      <c r="AB12" s="51" t="e">
        <f t="shared" si="2"/>
        <v>#VALUE!</v>
      </c>
      <c r="AC12" s="51" t="e">
        <f t="shared" si="2"/>
        <v>#VALUE!</v>
      </c>
    </row>
    <row r="13" ht="15" customHeight="1" spans="1:29">
      <c r="A13" s="29">
        <v>5.1</v>
      </c>
      <c r="B13" s="24" t="s">
        <v>420</v>
      </c>
      <c r="C13" s="51" t="e">
        <f t="shared" si="1"/>
        <v>#VALUE!</v>
      </c>
      <c r="D13" s="51">
        <f>IF(D37&gt;=0,D37*收入和税金!C26/100,0)</f>
        <v>0</v>
      </c>
      <c r="E13" s="51" t="e">
        <f>IF(E37&gt;=0,E37*收入和税金!D26/100,0)</f>
        <v>#VALUE!</v>
      </c>
      <c r="F13" s="51" t="e">
        <f>IF(F37&gt;=0,F37*收入和税金!E26/100,0)</f>
        <v>#VALUE!</v>
      </c>
      <c r="G13" s="51" t="e">
        <f>IF(G37&gt;=0,G37*收入和税金!F26/100,0)</f>
        <v>#VALUE!</v>
      </c>
      <c r="H13" s="51" t="e">
        <f>IF(H37&gt;=0,H37*收入和税金!G26/100,0)</f>
        <v>#VALUE!</v>
      </c>
      <c r="I13" s="51" t="e">
        <f>IF(I37&gt;=0,I37*收入和税金!H26/100,0)</f>
        <v>#VALUE!</v>
      </c>
      <c r="J13" s="51" t="e">
        <f>IF(J37&gt;=0,J37*收入和税金!I26/100,0)</f>
        <v>#VALUE!</v>
      </c>
      <c r="K13" s="51" t="e">
        <f>IF(K37&gt;=0,K37*收入和税金!J26/100,0)</f>
        <v>#VALUE!</v>
      </c>
      <c r="L13" s="51" t="e">
        <f>IF(L37&gt;=0,L37*收入和税金!K26/100,0)</f>
        <v>#VALUE!</v>
      </c>
      <c r="M13" s="51" t="e">
        <f>IF(M37&gt;=0,M37*收入和税金!L26/100,0)</f>
        <v>#VALUE!</v>
      </c>
      <c r="N13" s="51" t="e">
        <f>IF(N37&gt;=0,N37*收入和税金!M26/100,0)</f>
        <v>#VALUE!</v>
      </c>
      <c r="O13" s="51" t="e">
        <f>IF(O37&gt;=0,O37*收入和税金!N26/100,0)</f>
        <v>#VALUE!</v>
      </c>
      <c r="P13" s="51" t="e">
        <f>IF(P37&gt;=0,P37*收入和税金!O26/100,0)</f>
        <v>#VALUE!</v>
      </c>
      <c r="Q13" s="51" t="e">
        <f>IF(Q37&gt;=0,Q37*收入和税金!P26/100,0)</f>
        <v>#VALUE!</v>
      </c>
      <c r="R13" s="51" t="e">
        <f>IF(R37&gt;=0,R37*收入和税金!Q26/100,0)</f>
        <v>#VALUE!</v>
      </c>
      <c r="S13" s="51" t="e">
        <f>IF(S37&gt;=0,S37*收入和税金!R26/100,0)</f>
        <v>#VALUE!</v>
      </c>
      <c r="T13" s="51" t="e">
        <f>IF(T37&gt;=0,T37*收入和税金!S26/100,0)</f>
        <v>#VALUE!</v>
      </c>
      <c r="U13" s="51" t="e">
        <f>IF(U37&gt;=0,U37*收入和税金!T26/100,0)</f>
        <v>#VALUE!</v>
      </c>
      <c r="V13" s="51" t="e">
        <f>IF(V37&gt;=0,V37*收入和税金!U26/100,0)</f>
        <v>#VALUE!</v>
      </c>
      <c r="W13" s="51" t="e">
        <f>IF(W37&gt;=0,W37*收入和税金!V26/100,0)</f>
        <v>#VALUE!</v>
      </c>
      <c r="X13" s="51" t="e">
        <f>IF(X37&gt;=0,X37*收入和税金!W26/100,0)</f>
        <v>#VALUE!</v>
      </c>
      <c r="Y13" s="51" t="e">
        <f>IF(Y37&gt;=0,Y37*收入和税金!X26/100,0)</f>
        <v>#VALUE!</v>
      </c>
      <c r="Z13" s="51" t="e">
        <f>IF(Z37&gt;=0,Z37*收入和税金!Y26/100,0)</f>
        <v>#VALUE!</v>
      </c>
      <c r="AA13" s="51" t="e">
        <f>IF(AA37&gt;=0,AA37*收入和税金!Z26/100,0)</f>
        <v>#VALUE!</v>
      </c>
      <c r="AB13" s="51" t="e">
        <f>IF(AB37&gt;=0,AB37*收入和税金!AA26/100,0)</f>
        <v>#VALUE!</v>
      </c>
      <c r="AC13" s="51" t="e">
        <f>IF(AC37&gt;=0,AC37*收入和税金!AB26/100,0)</f>
        <v>#VALUE!</v>
      </c>
    </row>
    <row r="14" ht="15" customHeight="1" spans="1:29">
      <c r="A14" s="29">
        <v>5.2</v>
      </c>
      <c r="B14" s="24" t="s">
        <v>421</v>
      </c>
      <c r="C14" s="51" t="e">
        <f t="shared" si="1"/>
        <v>#VALUE!</v>
      </c>
      <c r="D14" s="51">
        <f>IF(D37&gt;=0,D37*收入和税金!C29/100,0)</f>
        <v>0</v>
      </c>
      <c r="E14" s="51" t="e">
        <f>IF(E37&gt;=0,E37*收入和税金!D29/100,0)</f>
        <v>#VALUE!</v>
      </c>
      <c r="F14" s="51" t="e">
        <f>IF(F37&gt;=0,F37*收入和税金!E29/100,0)</f>
        <v>#VALUE!</v>
      </c>
      <c r="G14" s="51" t="e">
        <f>IF(G37&gt;=0,G37*收入和税金!F29/100,0)</f>
        <v>#VALUE!</v>
      </c>
      <c r="H14" s="51" t="e">
        <f>IF(H37&gt;=0,H37*收入和税金!G29/100,0)</f>
        <v>#VALUE!</v>
      </c>
      <c r="I14" s="51" t="e">
        <f>IF(I37&gt;=0,I37*收入和税金!H29/100,0)</f>
        <v>#VALUE!</v>
      </c>
      <c r="J14" s="51" t="e">
        <f>IF(J37&gt;=0,J37*收入和税金!I29/100,0)</f>
        <v>#VALUE!</v>
      </c>
      <c r="K14" s="51" t="e">
        <f>IF(K37&gt;=0,K37*收入和税金!J29/100,0)</f>
        <v>#VALUE!</v>
      </c>
      <c r="L14" s="51" t="e">
        <f>IF(L37&gt;=0,L37*收入和税金!K29/100,0)</f>
        <v>#VALUE!</v>
      </c>
      <c r="M14" s="51" t="e">
        <f>IF(M37&gt;=0,M37*收入和税金!L29/100,0)</f>
        <v>#VALUE!</v>
      </c>
      <c r="N14" s="51" t="e">
        <f>IF(N37&gt;=0,N37*收入和税金!M29/100,0)</f>
        <v>#VALUE!</v>
      </c>
      <c r="O14" s="51" t="e">
        <f>IF(O37&gt;=0,O37*收入和税金!N29/100,0)</f>
        <v>#VALUE!</v>
      </c>
      <c r="P14" s="51" t="e">
        <f>IF(P37&gt;=0,P37*收入和税金!O29/100,0)</f>
        <v>#VALUE!</v>
      </c>
      <c r="Q14" s="51" t="e">
        <f>IF(Q37&gt;=0,Q37*收入和税金!P29/100,0)</f>
        <v>#VALUE!</v>
      </c>
      <c r="R14" s="51" t="e">
        <f>IF(R37&gt;=0,R37*收入和税金!Q29/100,0)</f>
        <v>#VALUE!</v>
      </c>
      <c r="S14" s="51" t="e">
        <f>IF(S37&gt;=0,S37*收入和税金!R29/100,0)</f>
        <v>#VALUE!</v>
      </c>
      <c r="T14" s="51" t="e">
        <f>IF(T37&gt;=0,T37*收入和税金!S29/100,0)</f>
        <v>#VALUE!</v>
      </c>
      <c r="U14" s="51" t="e">
        <f>IF(U37&gt;=0,U37*收入和税金!T29/100,0)</f>
        <v>#VALUE!</v>
      </c>
      <c r="V14" s="51" t="e">
        <f>IF(V37&gt;=0,V37*收入和税金!U29/100,0)</f>
        <v>#VALUE!</v>
      </c>
      <c r="W14" s="51" t="e">
        <f>IF(W37&gt;=0,W37*收入和税金!V29/100,0)</f>
        <v>#VALUE!</v>
      </c>
      <c r="X14" s="51" t="e">
        <f>IF(X37&gt;=0,X37*收入和税金!W29/100,0)</f>
        <v>#VALUE!</v>
      </c>
      <c r="Y14" s="51" t="e">
        <f>IF(Y37&gt;=0,Y37*收入和税金!X29/100,0)</f>
        <v>#VALUE!</v>
      </c>
      <c r="Z14" s="51" t="e">
        <f>IF(Z37&gt;=0,Z37*收入和税金!Y29/100,0)</f>
        <v>#VALUE!</v>
      </c>
      <c r="AA14" s="51" t="e">
        <f>IF(AA37&gt;=0,AA37*收入和税金!Z29/100,0)</f>
        <v>#VALUE!</v>
      </c>
      <c r="AB14" s="51" t="e">
        <f>IF(AB37&gt;=0,AB37*收入和税金!AA29/100,0)</f>
        <v>#VALUE!</v>
      </c>
      <c r="AC14" s="51" t="e">
        <f>IF(AC37&gt;=0,AC37*收入和税金!AB29/100,0)</f>
        <v>#VALUE!</v>
      </c>
    </row>
    <row r="15" ht="15" customHeight="1" spans="1:29">
      <c r="A15" s="68">
        <v>6</v>
      </c>
      <c r="B15" s="10" t="s">
        <v>485</v>
      </c>
      <c r="C15" s="51" t="e">
        <f t="shared" si="1"/>
        <v>#REF!</v>
      </c>
      <c r="D15" s="51">
        <f>总成本费用表!D20</f>
        <v>0</v>
      </c>
      <c r="E15" s="51" t="e">
        <f>总成本费用表!E20</f>
        <v>#REF!</v>
      </c>
      <c r="F15" s="51" t="e">
        <f>总成本费用表!F20</f>
        <v>#REF!</v>
      </c>
      <c r="G15" s="51" t="e">
        <f>总成本费用表!G20</f>
        <v>#REF!</v>
      </c>
      <c r="H15" s="51" t="e">
        <f>总成本费用表!H20</f>
        <v>#REF!</v>
      </c>
      <c r="I15" s="51" t="e">
        <f>总成本费用表!I20</f>
        <v>#REF!</v>
      </c>
      <c r="J15" s="51" t="e">
        <f>总成本费用表!J20</f>
        <v>#REF!</v>
      </c>
      <c r="K15" s="51" t="e">
        <f>总成本费用表!K20</f>
        <v>#REF!</v>
      </c>
      <c r="L15" s="51" t="e">
        <f>总成本费用表!L20</f>
        <v>#REF!</v>
      </c>
      <c r="M15" s="51" t="e">
        <f>总成本费用表!M20</f>
        <v>#REF!</v>
      </c>
      <c r="N15" s="51" t="e">
        <f>总成本费用表!N20</f>
        <v>#REF!</v>
      </c>
      <c r="O15" s="51" t="e">
        <f>总成本费用表!O20</f>
        <v>#REF!</v>
      </c>
      <c r="P15" s="51" t="e">
        <f>总成本费用表!P20</f>
        <v>#REF!</v>
      </c>
      <c r="Q15" s="51" t="e">
        <f>总成本费用表!Q20</f>
        <v>#REF!</v>
      </c>
      <c r="R15" s="51" t="e">
        <f>总成本费用表!R20</f>
        <v>#REF!</v>
      </c>
      <c r="S15" s="51" t="e">
        <f>总成本费用表!S20</f>
        <v>#REF!</v>
      </c>
      <c r="T15" s="51" t="e">
        <f>总成本费用表!T20</f>
        <v>#REF!</v>
      </c>
      <c r="U15" s="51" t="e">
        <f>总成本费用表!U20</f>
        <v>#REF!</v>
      </c>
      <c r="V15" s="51" t="e">
        <f>总成本费用表!V20</f>
        <v>#REF!</v>
      </c>
      <c r="W15" s="51" t="e">
        <f>总成本费用表!W20</f>
        <v>#REF!</v>
      </c>
      <c r="X15" s="51" t="e">
        <f>总成本费用表!X20</f>
        <v>#REF!</v>
      </c>
      <c r="Y15" s="51" t="e">
        <f>总成本费用表!Y20</f>
        <v>#REF!</v>
      </c>
      <c r="Z15" s="51" t="e">
        <f>总成本费用表!Z20</f>
        <v>#REF!</v>
      </c>
      <c r="AA15" s="51" t="e">
        <f>总成本费用表!AA20</f>
        <v>#REF!</v>
      </c>
      <c r="AB15" s="51" t="e">
        <f>总成本费用表!AB20</f>
        <v>#REF!</v>
      </c>
      <c r="AC15" s="51" t="e">
        <f>总成本费用表!AC20</f>
        <v>#REF!</v>
      </c>
    </row>
    <row r="16" ht="15" customHeight="1" spans="1:29">
      <c r="A16" s="68">
        <v>7</v>
      </c>
      <c r="B16" s="31" t="s">
        <v>516</v>
      </c>
      <c r="C16" s="51">
        <f t="shared" si="1"/>
        <v>0</v>
      </c>
      <c r="D16" s="51">
        <f>IF(收入和税金!$C$14="是",D37*50%,0)</f>
        <v>0</v>
      </c>
      <c r="E16" s="51">
        <f>IF(收入和税金!$C$14="是",E37*50%,0)</f>
        <v>0</v>
      </c>
      <c r="F16" s="51">
        <f>IF(收入和税金!$C$14="是",F37*50%,0)</f>
        <v>0</v>
      </c>
      <c r="G16" s="51">
        <f>IF(收入和税金!$C$14="是",G37*50%,0)</f>
        <v>0</v>
      </c>
      <c r="H16" s="51">
        <f>IF(收入和税金!$C$14="是",H37*50%,0)</f>
        <v>0</v>
      </c>
      <c r="I16" s="51">
        <f>IF(收入和税金!$C$14="是",I37*50%,0)</f>
        <v>0</v>
      </c>
      <c r="J16" s="51">
        <f>IF(收入和税金!$C$14="是",J37*50%,0)</f>
        <v>0</v>
      </c>
      <c r="K16" s="51">
        <f>IF(收入和税金!$C$14="是",K37*50%,0)</f>
        <v>0</v>
      </c>
      <c r="L16" s="51">
        <f>IF(收入和税金!$C$14="是",L37*50%,0)</f>
        <v>0</v>
      </c>
      <c r="M16" s="51">
        <f>IF(收入和税金!$C$14="是",M37*50%,0)</f>
        <v>0</v>
      </c>
      <c r="N16" s="51">
        <f>IF(收入和税金!$C$14="是",N37*50%,0)</f>
        <v>0</v>
      </c>
      <c r="O16" s="51">
        <f>IF(收入和税金!$C$14="是",O37*50%,0)</f>
        <v>0</v>
      </c>
      <c r="P16" s="51">
        <f>IF(收入和税金!$C$14="是",P37*50%,0)</f>
        <v>0</v>
      </c>
      <c r="Q16" s="51">
        <f>IF(收入和税金!$C$14="是",Q37*50%,0)</f>
        <v>0</v>
      </c>
      <c r="R16" s="51">
        <f>IF(收入和税金!$C$14="是",R37*50%,0)</f>
        <v>0</v>
      </c>
      <c r="S16" s="51">
        <f>IF(收入和税金!$C$14="是",S37*50%,0)</f>
        <v>0</v>
      </c>
      <c r="T16" s="51">
        <f>IF(收入和税金!$C$14="是",T37*50%,0)</f>
        <v>0</v>
      </c>
      <c r="U16" s="51">
        <f>IF(收入和税金!$C$14="是",U37*50%,0)</f>
        <v>0</v>
      </c>
      <c r="V16" s="51">
        <f>IF(收入和税金!$C$14="是",V37*50%,0)</f>
        <v>0</v>
      </c>
      <c r="W16" s="51">
        <f>IF(收入和税金!$C$14="是",W37*50%,0)</f>
        <v>0</v>
      </c>
      <c r="X16" s="51">
        <f>IF(收入和税金!$C$14="是",X37*50%,0)</f>
        <v>0</v>
      </c>
      <c r="Y16" s="51">
        <f>IF(收入和税金!$C$14="是",Y37*50%,0)</f>
        <v>0</v>
      </c>
      <c r="Z16" s="51">
        <f>IF(收入和税金!$C$14="是",Z37*50%,0)</f>
        <v>0</v>
      </c>
      <c r="AA16" s="51">
        <f>IF(收入和税金!$C$14="是",AA37*50%,0)</f>
        <v>0</v>
      </c>
      <c r="AB16" s="51">
        <f>IF(收入和税金!$C$14="是",AB37*50%,0)</f>
        <v>0</v>
      </c>
      <c r="AC16" s="51">
        <f>IF(收入和税金!$C$14="是",AC37*50%,0)</f>
        <v>0</v>
      </c>
    </row>
    <row r="17" ht="15" customHeight="1" spans="1:29">
      <c r="A17" s="68">
        <v>8</v>
      </c>
      <c r="B17" s="10" t="s">
        <v>517</v>
      </c>
      <c r="C17" s="51" t="e">
        <f t="shared" si="1"/>
        <v>#VALUE!</v>
      </c>
      <c r="D17" s="51">
        <f t="shared" ref="D17:AC17" si="3">D8-D12-D15+D16</f>
        <v>0</v>
      </c>
      <c r="E17" s="51" t="e">
        <f t="shared" si="3"/>
        <v>#VALUE!</v>
      </c>
      <c r="F17" s="51" t="e">
        <f t="shared" si="3"/>
        <v>#VALUE!</v>
      </c>
      <c r="G17" s="51" t="e">
        <f t="shared" si="3"/>
        <v>#VALUE!</v>
      </c>
      <c r="H17" s="51" t="e">
        <f t="shared" si="3"/>
        <v>#VALUE!</v>
      </c>
      <c r="I17" s="51" t="e">
        <f t="shared" si="3"/>
        <v>#VALUE!</v>
      </c>
      <c r="J17" s="51" t="e">
        <f t="shared" si="3"/>
        <v>#VALUE!</v>
      </c>
      <c r="K17" s="51" t="e">
        <f t="shared" si="3"/>
        <v>#VALUE!</v>
      </c>
      <c r="L17" s="51" t="e">
        <f t="shared" si="3"/>
        <v>#VALUE!</v>
      </c>
      <c r="M17" s="51" t="e">
        <f t="shared" si="3"/>
        <v>#VALUE!</v>
      </c>
      <c r="N17" s="51" t="e">
        <f t="shared" si="3"/>
        <v>#VALUE!</v>
      </c>
      <c r="O17" s="51" t="e">
        <f t="shared" si="3"/>
        <v>#VALUE!</v>
      </c>
      <c r="P17" s="51" t="e">
        <f t="shared" si="3"/>
        <v>#VALUE!</v>
      </c>
      <c r="Q17" s="51" t="e">
        <f t="shared" si="3"/>
        <v>#VALUE!</v>
      </c>
      <c r="R17" s="51" t="e">
        <f t="shared" si="3"/>
        <v>#VALUE!</v>
      </c>
      <c r="S17" s="51" t="e">
        <f t="shared" si="3"/>
        <v>#VALUE!</v>
      </c>
      <c r="T17" s="51" t="e">
        <f t="shared" si="3"/>
        <v>#VALUE!</v>
      </c>
      <c r="U17" s="51" t="e">
        <f t="shared" si="3"/>
        <v>#VALUE!</v>
      </c>
      <c r="V17" s="51" t="e">
        <f t="shared" si="3"/>
        <v>#VALUE!</v>
      </c>
      <c r="W17" s="51" t="e">
        <f t="shared" si="3"/>
        <v>#VALUE!</v>
      </c>
      <c r="X17" s="51" t="e">
        <f t="shared" si="3"/>
        <v>#VALUE!</v>
      </c>
      <c r="Y17" s="51" t="e">
        <f t="shared" si="3"/>
        <v>#VALUE!</v>
      </c>
      <c r="Z17" s="51" t="e">
        <f t="shared" si="3"/>
        <v>#VALUE!</v>
      </c>
      <c r="AA17" s="51" t="e">
        <f t="shared" si="3"/>
        <v>#VALUE!</v>
      </c>
      <c r="AB17" s="51" t="e">
        <f t="shared" si="3"/>
        <v>#VALUE!</v>
      </c>
      <c r="AC17" s="51" t="e">
        <f t="shared" si="3"/>
        <v>#VALUE!</v>
      </c>
    </row>
    <row r="18" ht="15" customHeight="1" spans="1:29">
      <c r="A18" s="97">
        <v>9</v>
      </c>
      <c r="B18" s="10" t="s">
        <v>518</v>
      </c>
      <c r="C18" s="51" t="e">
        <f t="shared" si="1"/>
        <v>#VALUE!</v>
      </c>
      <c r="D18" s="51">
        <f t="shared" ref="D18:AC18" si="4">D43</f>
        <v>0</v>
      </c>
      <c r="E18" s="51" t="e">
        <f t="shared" si="4"/>
        <v>#VALUE!</v>
      </c>
      <c r="F18" s="51" t="e">
        <f t="shared" si="4"/>
        <v>#VALUE!</v>
      </c>
      <c r="G18" s="51" t="e">
        <f t="shared" si="4"/>
        <v>#VALUE!</v>
      </c>
      <c r="H18" s="51" t="e">
        <f t="shared" si="4"/>
        <v>#VALUE!</v>
      </c>
      <c r="I18" s="51" t="e">
        <f t="shared" si="4"/>
        <v>#VALUE!</v>
      </c>
      <c r="J18" s="51" t="e">
        <f t="shared" si="4"/>
        <v>#VALUE!</v>
      </c>
      <c r="K18" s="51" t="e">
        <f t="shared" si="4"/>
        <v>#VALUE!</v>
      </c>
      <c r="L18" s="51" t="e">
        <f t="shared" si="4"/>
        <v>#VALUE!</v>
      </c>
      <c r="M18" s="51" t="e">
        <f t="shared" si="4"/>
        <v>#VALUE!</v>
      </c>
      <c r="N18" s="51" t="e">
        <f t="shared" si="4"/>
        <v>#VALUE!</v>
      </c>
      <c r="O18" s="51" t="e">
        <f t="shared" si="4"/>
        <v>#VALUE!</v>
      </c>
      <c r="P18" s="51" t="e">
        <f t="shared" si="4"/>
        <v>#VALUE!</v>
      </c>
      <c r="Q18" s="51" t="e">
        <f t="shared" si="4"/>
        <v>#VALUE!</v>
      </c>
      <c r="R18" s="51" t="e">
        <f t="shared" si="4"/>
        <v>#VALUE!</v>
      </c>
      <c r="S18" s="51" t="e">
        <f t="shared" si="4"/>
        <v>#VALUE!</v>
      </c>
      <c r="T18" s="51" t="e">
        <f t="shared" si="4"/>
        <v>#VALUE!</v>
      </c>
      <c r="U18" s="51" t="e">
        <f t="shared" si="4"/>
        <v>#VALUE!</v>
      </c>
      <c r="V18" s="51" t="e">
        <f t="shared" si="4"/>
        <v>#VALUE!</v>
      </c>
      <c r="W18" s="51" t="e">
        <f t="shared" si="4"/>
        <v>#VALUE!</v>
      </c>
      <c r="X18" s="51" t="e">
        <f t="shared" si="4"/>
        <v>#VALUE!</v>
      </c>
      <c r="Y18" s="51" t="e">
        <f t="shared" si="4"/>
        <v>#VALUE!</v>
      </c>
      <c r="Z18" s="51" t="e">
        <f t="shared" si="4"/>
        <v>#VALUE!</v>
      </c>
      <c r="AA18" s="51" t="e">
        <f t="shared" si="4"/>
        <v>#VALUE!</v>
      </c>
      <c r="AB18" s="51" t="e">
        <f t="shared" si="4"/>
        <v>#VALUE!</v>
      </c>
      <c r="AC18" s="51" t="e">
        <f t="shared" si="4"/>
        <v>#VALUE!</v>
      </c>
    </row>
    <row r="19" ht="15" customHeight="1" spans="1:29">
      <c r="A19" s="68">
        <v>10</v>
      </c>
      <c r="B19" s="24" t="s">
        <v>519</v>
      </c>
      <c r="C19" s="51" t="e">
        <f t="shared" si="1"/>
        <v>#VALUE!</v>
      </c>
      <c r="D19" s="51">
        <f t="shared" ref="D19:AC19" si="5">IF(D8-D11-D12-D15+D16-D18&lt;=0,0,D8-D11-D12-D15+D16-D18)</f>
        <v>0</v>
      </c>
      <c r="E19" s="51" t="e">
        <f t="shared" si="5"/>
        <v>#VALUE!</v>
      </c>
      <c r="F19" s="51" t="e">
        <f t="shared" si="5"/>
        <v>#VALUE!</v>
      </c>
      <c r="G19" s="51" t="e">
        <f t="shared" si="5"/>
        <v>#VALUE!</v>
      </c>
      <c r="H19" s="51" t="e">
        <f t="shared" si="5"/>
        <v>#VALUE!</v>
      </c>
      <c r="I19" s="51" t="e">
        <f t="shared" si="5"/>
        <v>#VALUE!</v>
      </c>
      <c r="J19" s="51" t="e">
        <f t="shared" si="5"/>
        <v>#VALUE!</v>
      </c>
      <c r="K19" s="51" t="e">
        <f t="shared" si="5"/>
        <v>#VALUE!</v>
      </c>
      <c r="L19" s="51" t="e">
        <f t="shared" si="5"/>
        <v>#VALUE!</v>
      </c>
      <c r="M19" s="51" t="e">
        <f t="shared" si="5"/>
        <v>#VALUE!</v>
      </c>
      <c r="N19" s="51" t="e">
        <f t="shared" si="5"/>
        <v>#VALUE!</v>
      </c>
      <c r="O19" s="51" t="e">
        <f t="shared" si="5"/>
        <v>#VALUE!</v>
      </c>
      <c r="P19" s="51" t="e">
        <f t="shared" si="5"/>
        <v>#VALUE!</v>
      </c>
      <c r="Q19" s="51" t="e">
        <f t="shared" si="5"/>
        <v>#VALUE!</v>
      </c>
      <c r="R19" s="51" t="e">
        <f t="shared" si="5"/>
        <v>#VALUE!</v>
      </c>
      <c r="S19" s="51" t="e">
        <f t="shared" si="5"/>
        <v>#VALUE!</v>
      </c>
      <c r="T19" s="51" t="e">
        <f t="shared" si="5"/>
        <v>#VALUE!</v>
      </c>
      <c r="U19" s="51" t="e">
        <f t="shared" si="5"/>
        <v>#VALUE!</v>
      </c>
      <c r="V19" s="51" t="e">
        <f t="shared" si="5"/>
        <v>#VALUE!</v>
      </c>
      <c r="W19" s="51" t="e">
        <f t="shared" si="5"/>
        <v>#VALUE!</v>
      </c>
      <c r="X19" s="51" t="e">
        <f t="shared" si="5"/>
        <v>#VALUE!</v>
      </c>
      <c r="Y19" s="51" t="e">
        <f t="shared" si="5"/>
        <v>#VALUE!</v>
      </c>
      <c r="Z19" s="51" t="e">
        <f t="shared" si="5"/>
        <v>#VALUE!</v>
      </c>
      <c r="AA19" s="51" t="e">
        <f t="shared" si="5"/>
        <v>#VALUE!</v>
      </c>
      <c r="AB19" s="51" t="e">
        <f t="shared" si="5"/>
        <v>#VALUE!</v>
      </c>
      <c r="AC19" s="51" t="e">
        <f t="shared" si="5"/>
        <v>#VALUE!</v>
      </c>
    </row>
    <row r="20" ht="15" customHeight="1" spans="1:29">
      <c r="A20" s="68">
        <v>11</v>
      </c>
      <c r="B20" s="24" t="s">
        <v>520</v>
      </c>
      <c r="C20" s="51" t="e">
        <f t="shared" si="1"/>
        <v>#VALUE!</v>
      </c>
      <c r="D20" s="51">
        <f>D19*收入和税金!C23%+D16*(25-收入和税金!D23)%</f>
        <v>0</v>
      </c>
      <c r="E20" s="51" t="e">
        <f>E19*收入和税金!D23%+E16*(25-收入和税金!D23)%</f>
        <v>#VALUE!</v>
      </c>
      <c r="F20" s="51" t="e">
        <f>F19*收入和税金!E23%+F16*(25-收入和税金!E23)%</f>
        <v>#VALUE!</v>
      </c>
      <c r="G20" s="51" t="e">
        <f>G19*收入和税金!F23%+G16*(25-收入和税金!F23)%</f>
        <v>#VALUE!</v>
      </c>
      <c r="H20" s="51" t="e">
        <f>H19*收入和税金!G23%+H16*(25-收入和税金!G23)%</f>
        <v>#VALUE!</v>
      </c>
      <c r="I20" s="51" t="e">
        <f>I19*收入和税金!H23%+I16*(25-收入和税金!H23)%</f>
        <v>#VALUE!</v>
      </c>
      <c r="J20" s="51" t="e">
        <f>J19*收入和税金!I23%+J16*(25-收入和税金!I23)%</f>
        <v>#VALUE!</v>
      </c>
      <c r="K20" s="51" t="e">
        <f>K19*收入和税金!J23%+K16*(25-收入和税金!J23)%</f>
        <v>#VALUE!</v>
      </c>
      <c r="L20" s="51" t="e">
        <f>L19*收入和税金!K23%+L16*(25-收入和税金!K23)%</f>
        <v>#VALUE!</v>
      </c>
      <c r="M20" s="51" t="e">
        <f>M19*收入和税金!L23%+M16*(25-收入和税金!L23)%</f>
        <v>#VALUE!</v>
      </c>
      <c r="N20" s="51" t="e">
        <f>N19*收入和税金!M23%+N16*(25-收入和税金!M23)%</f>
        <v>#VALUE!</v>
      </c>
      <c r="O20" s="51" t="e">
        <f>O19*收入和税金!N23%+O16*(25-收入和税金!N23)%</f>
        <v>#VALUE!</v>
      </c>
      <c r="P20" s="51" t="e">
        <f>P19*收入和税金!O23%+P16*(25-收入和税金!O23)%</f>
        <v>#VALUE!</v>
      </c>
      <c r="Q20" s="51" t="e">
        <f>Q19*收入和税金!P23%+Q16*(25-收入和税金!P23)%</f>
        <v>#VALUE!</v>
      </c>
      <c r="R20" s="51" t="e">
        <f>R19*收入和税金!Q23%+R16*(25-收入和税金!Q23)%</f>
        <v>#VALUE!</v>
      </c>
      <c r="S20" s="51" t="e">
        <f>S19*收入和税金!R23%+S16*(25-收入和税金!R23)%</f>
        <v>#VALUE!</v>
      </c>
      <c r="T20" s="51" t="e">
        <f>T19*收入和税金!S23%+T16*(25-收入和税金!S23)%</f>
        <v>#VALUE!</v>
      </c>
      <c r="U20" s="51" t="e">
        <f>U19*收入和税金!T23%+U16*(25-收入和税金!T23)%</f>
        <v>#VALUE!</v>
      </c>
      <c r="V20" s="51" t="e">
        <f>V19*收入和税金!U23%+V16*(25-收入和税金!U23)%</f>
        <v>#VALUE!</v>
      </c>
      <c r="W20" s="51" t="e">
        <f>W19*收入和税金!V23%+W16*(25-收入和税金!V23)%</f>
        <v>#VALUE!</v>
      </c>
      <c r="X20" s="51" t="e">
        <f>X19*收入和税金!W23%+X16*(25-收入和税金!W23)%</f>
        <v>#VALUE!</v>
      </c>
      <c r="Y20" s="51" t="e">
        <f>Y19*收入和税金!X23%+Y16*(25-收入和税金!X23)%</f>
        <v>#VALUE!</v>
      </c>
      <c r="Z20" s="51" t="e">
        <f>Z19*收入和税金!Y23%+Z16*(25-收入和税金!Y23)%</f>
        <v>#VALUE!</v>
      </c>
      <c r="AA20" s="51" t="e">
        <f>AA19*收入和税金!Z23%+AA16*(25-收入和税金!Z23)%</f>
        <v>#VALUE!</v>
      </c>
      <c r="AB20" s="51" t="e">
        <f>AB19*收入和税金!AA23%+AB16*(25-收入和税金!AA23)%</f>
        <v>#VALUE!</v>
      </c>
      <c r="AC20" s="51" t="e">
        <f>AC19*收入和税金!AB23%+AC16*(25-收入和税金!AB23)%</f>
        <v>#VALUE!</v>
      </c>
    </row>
    <row r="21" ht="15" customHeight="1" spans="1:29">
      <c r="A21" s="68">
        <v>13</v>
      </c>
      <c r="B21" s="24" t="s">
        <v>521</v>
      </c>
      <c r="C21" s="51" t="e">
        <f t="shared" si="1"/>
        <v>#VALUE!</v>
      </c>
      <c r="D21" s="51">
        <f t="shared" ref="D21:AC21" si="6">D17-D20</f>
        <v>0</v>
      </c>
      <c r="E21" s="51" t="e">
        <f t="shared" si="6"/>
        <v>#VALUE!</v>
      </c>
      <c r="F21" s="51" t="e">
        <f t="shared" si="6"/>
        <v>#VALUE!</v>
      </c>
      <c r="G21" s="51" t="e">
        <f t="shared" si="6"/>
        <v>#VALUE!</v>
      </c>
      <c r="H21" s="51" t="e">
        <f t="shared" si="6"/>
        <v>#VALUE!</v>
      </c>
      <c r="I21" s="51" t="e">
        <f t="shared" si="6"/>
        <v>#VALUE!</v>
      </c>
      <c r="J21" s="51" t="e">
        <f t="shared" si="6"/>
        <v>#VALUE!</v>
      </c>
      <c r="K21" s="51" t="e">
        <f t="shared" si="6"/>
        <v>#VALUE!</v>
      </c>
      <c r="L21" s="51" t="e">
        <f t="shared" si="6"/>
        <v>#VALUE!</v>
      </c>
      <c r="M21" s="51" t="e">
        <f t="shared" si="6"/>
        <v>#VALUE!</v>
      </c>
      <c r="N21" s="51" t="e">
        <f t="shared" si="6"/>
        <v>#VALUE!</v>
      </c>
      <c r="O21" s="51" t="e">
        <f t="shared" si="6"/>
        <v>#VALUE!</v>
      </c>
      <c r="P21" s="51" t="e">
        <f t="shared" si="6"/>
        <v>#VALUE!</v>
      </c>
      <c r="Q21" s="51" t="e">
        <f t="shared" si="6"/>
        <v>#VALUE!</v>
      </c>
      <c r="R21" s="51" t="e">
        <f t="shared" si="6"/>
        <v>#VALUE!</v>
      </c>
      <c r="S21" s="51" t="e">
        <f t="shared" si="6"/>
        <v>#VALUE!</v>
      </c>
      <c r="T21" s="51" t="e">
        <f t="shared" si="6"/>
        <v>#VALUE!</v>
      </c>
      <c r="U21" s="51" t="e">
        <f t="shared" si="6"/>
        <v>#VALUE!</v>
      </c>
      <c r="V21" s="51" t="e">
        <f t="shared" si="6"/>
        <v>#VALUE!</v>
      </c>
      <c r="W21" s="51" t="e">
        <f t="shared" si="6"/>
        <v>#VALUE!</v>
      </c>
      <c r="X21" s="51" t="e">
        <f t="shared" si="6"/>
        <v>#VALUE!</v>
      </c>
      <c r="Y21" s="51" t="e">
        <f t="shared" si="6"/>
        <v>#VALUE!</v>
      </c>
      <c r="Z21" s="51" t="e">
        <f t="shared" si="6"/>
        <v>#VALUE!</v>
      </c>
      <c r="AA21" s="51" t="e">
        <f t="shared" si="6"/>
        <v>#VALUE!</v>
      </c>
      <c r="AB21" s="51" t="e">
        <f t="shared" si="6"/>
        <v>#VALUE!</v>
      </c>
      <c r="AC21" s="51" t="e">
        <f t="shared" si="6"/>
        <v>#VALUE!</v>
      </c>
    </row>
    <row r="22" ht="15" customHeight="1" spans="1:29">
      <c r="A22" s="68">
        <v>14</v>
      </c>
      <c r="B22" s="24" t="s">
        <v>522</v>
      </c>
      <c r="C22" s="51"/>
      <c r="D22" s="51">
        <v>0</v>
      </c>
      <c r="E22" s="51">
        <f t="shared" ref="E22:AC22" si="7">D28</f>
        <v>0</v>
      </c>
      <c r="F22" s="51" t="e">
        <f t="shared" si="7"/>
        <v>#VALUE!</v>
      </c>
      <c r="G22" s="51" t="e">
        <f t="shared" si="7"/>
        <v>#VALUE!</v>
      </c>
      <c r="H22" s="51" t="e">
        <f t="shared" si="7"/>
        <v>#VALUE!</v>
      </c>
      <c r="I22" s="51" t="e">
        <f t="shared" si="7"/>
        <v>#VALUE!</v>
      </c>
      <c r="J22" s="51" t="e">
        <f t="shared" si="7"/>
        <v>#VALUE!</v>
      </c>
      <c r="K22" s="51" t="e">
        <f t="shared" si="7"/>
        <v>#VALUE!</v>
      </c>
      <c r="L22" s="51" t="e">
        <f t="shared" si="7"/>
        <v>#VALUE!</v>
      </c>
      <c r="M22" s="51" t="e">
        <f t="shared" si="7"/>
        <v>#VALUE!</v>
      </c>
      <c r="N22" s="51" t="e">
        <f t="shared" si="7"/>
        <v>#VALUE!</v>
      </c>
      <c r="O22" s="51" t="e">
        <f t="shared" si="7"/>
        <v>#VALUE!</v>
      </c>
      <c r="P22" s="51" t="e">
        <f t="shared" si="7"/>
        <v>#VALUE!</v>
      </c>
      <c r="Q22" s="51" t="e">
        <f t="shared" si="7"/>
        <v>#VALUE!</v>
      </c>
      <c r="R22" s="51" t="e">
        <f t="shared" si="7"/>
        <v>#VALUE!</v>
      </c>
      <c r="S22" s="51" t="e">
        <f t="shared" si="7"/>
        <v>#VALUE!</v>
      </c>
      <c r="T22" s="51" t="e">
        <f t="shared" si="7"/>
        <v>#VALUE!</v>
      </c>
      <c r="U22" s="51" t="e">
        <f t="shared" si="7"/>
        <v>#VALUE!</v>
      </c>
      <c r="V22" s="51" t="e">
        <f t="shared" si="7"/>
        <v>#VALUE!</v>
      </c>
      <c r="W22" s="51" t="e">
        <f t="shared" si="7"/>
        <v>#VALUE!</v>
      </c>
      <c r="X22" s="51" t="e">
        <f t="shared" si="7"/>
        <v>#VALUE!</v>
      </c>
      <c r="Y22" s="51" t="e">
        <f t="shared" si="7"/>
        <v>#VALUE!</v>
      </c>
      <c r="Z22" s="51" t="e">
        <f t="shared" si="7"/>
        <v>#VALUE!</v>
      </c>
      <c r="AA22" s="51" t="e">
        <f t="shared" si="7"/>
        <v>#VALUE!</v>
      </c>
      <c r="AB22" s="51" t="e">
        <f t="shared" si="7"/>
        <v>#VALUE!</v>
      </c>
      <c r="AC22" s="51" t="e">
        <f t="shared" si="7"/>
        <v>#VALUE!</v>
      </c>
    </row>
    <row r="23" ht="15" customHeight="1" spans="1:29">
      <c r="A23" s="68">
        <v>15</v>
      </c>
      <c r="B23" s="24" t="s">
        <v>523</v>
      </c>
      <c r="C23" s="51"/>
      <c r="D23" s="51">
        <f t="shared" ref="D23:AC23" si="8">D21+D22</f>
        <v>0</v>
      </c>
      <c r="E23" s="51" t="e">
        <f t="shared" si="8"/>
        <v>#VALUE!</v>
      </c>
      <c r="F23" s="51" t="e">
        <f t="shared" si="8"/>
        <v>#VALUE!</v>
      </c>
      <c r="G23" s="51" t="e">
        <f t="shared" si="8"/>
        <v>#VALUE!</v>
      </c>
      <c r="H23" s="51" t="e">
        <f t="shared" si="8"/>
        <v>#VALUE!</v>
      </c>
      <c r="I23" s="51" t="e">
        <f t="shared" si="8"/>
        <v>#VALUE!</v>
      </c>
      <c r="J23" s="51" t="e">
        <f t="shared" si="8"/>
        <v>#VALUE!</v>
      </c>
      <c r="K23" s="51" t="e">
        <f t="shared" si="8"/>
        <v>#VALUE!</v>
      </c>
      <c r="L23" s="51" t="e">
        <f t="shared" si="8"/>
        <v>#VALUE!</v>
      </c>
      <c r="M23" s="51" t="e">
        <f t="shared" si="8"/>
        <v>#VALUE!</v>
      </c>
      <c r="N23" s="51" t="e">
        <f t="shared" si="8"/>
        <v>#VALUE!</v>
      </c>
      <c r="O23" s="51" t="e">
        <f t="shared" si="8"/>
        <v>#VALUE!</v>
      </c>
      <c r="P23" s="51" t="e">
        <f t="shared" si="8"/>
        <v>#VALUE!</v>
      </c>
      <c r="Q23" s="51" t="e">
        <f t="shared" si="8"/>
        <v>#VALUE!</v>
      </c>
      <c r="R23" s="51" t="e">
        <f t="shared" si="8"/>
        <v>#VALUE!</v>
      </c>
      <c r="S23" s="51" t="e">
        <f t="shared" si="8"/>
        <v>#VALUE!</v>
      </c>
      <c r="T23" s="51" t="e">
        <f t="shared" si="8"/>
        <v>#VALUE!</v>
      </c>
      <c r="U23" s="51" t="e">
        <f t="shared" si="8"/>
        <v>#VALUE!</v>
      </c>
      <c r="V23" s="51" t="e">
        <f t="shared" si="8"/>
        <v>#VALUE!</v>
      </c>
      <c r="W23" s="51" t="e">
        <f t="shared" si="8"/>
        <v>#VALUE!</v>
      </c>
      <c r="X23" s="51" t="e">
        <f t="shared" si="8"/>
        <v>#VALUE!</v>
      </c>
      <c r="Y23" s="51" t="e">
        <f t="shared" si="8"/>
        <v>#VALUE!</v>
      </c>
      <c r="Z23" s="51" t="e">
        <f t="shared" si="8"/>
        <v>#VALUE!</v>
      </c>
      <c r="AA23" s="51" t="e">
        <f t="shared" si="8"/>
        <v>#VALUE!</v>
      </c>
      <c r="AB23" s="51" t="e">
        <f t="shared" si="8"/>
        <v>#VALUE!</v>
      </c>
      <c r="AC23" s="51" t="e">
        <f t="shared" si="8"/>
        <v>#VALUE!</v>
      </c>
    </row>
    <row r="24" ht="15" customHeight="1" spans="1:29">
      <c r="A24" s="68">
        <v>16</v>
      </c>
      <c r="B24" s="24" t="s">
        <v>524</v>
      </c>
      <c r="C24" s="51" t="e">
        <f>SUM(D24:AC24)</f>
        <v>#VALUE!</v>
      </c>
      <c r="D24" s="51">
        <v>0</v>
      </c>
      <c r="E24" s="51" t="e">
        <f>IF(AND(E21&gt;0,D31&lt;=投资计划与资金筹措表!$C$10*0.5),MIN(E21*收入和税金!D32%,投资计划与资金筹措表!$C$10*0.5-D31),0)</f>
        <v>#VALUE!</v>
      </c>
      <c r="F24" s="51" t="e">
        <f>IF(AND(F21&gt;0,E31&lt;=投资计划与资金筹措表!$C$10*0.5),MIN(F21*收入和税金!E32%,投资计划与资金筹措表!$C$10*0.5-E31),0)</f>
        <v>#VALUE!</v>
      </c>
      <c r="G24" s="51" t="e">
        <f>IF(AND(G21&gt;0,F31&lt;=投资计划与资金筹措表!$C$10*0.5),MIN(G21*收入和税金!F32%,投资计划与资金筹措表!$C$10*0.5-F31),0)</f>
        <v>#VALUE!</v>
      </c>
      <c r="H24" s="51" t="e">
        <f>IF(AND(H21&gt;0,G31&lt;=投资计划与资金筹措表!$C$10*0.5),MIN(H21*收入和税金!G32%,投资计划与资金筹措表!$C$10*0.5-G31),0)</f>
        <v>#VALUE!</v>
      </c>
      <c r="I24" s="51" t="e">
        <f>IF(AND(I21&gt;0,H31&lt;=投资计划与资金筹措表!$C$10*0.5),MIN(I21*收入和税金!H32%,投资计划与资金筹措表!$C$10*0.5-H31),0)</f>
        <v>#VALUE!</v>
      </c>
      <c r="J24" s="51" t="e">
        <f>IF(AND(J21&gt;0,I31&lt;=投资计划与资金筹措表!$C$10*0.5),MIN(J21*收入和税金!I32%,投资计划与资金筹措表!$C$10*0.5-I31),0)</f>
        <v>#VALUE!</v>
      </c>
      <c r="K24" s="51" t="e">
        <f>IF(AND(K21&gt;0,J31&lt;=投资计划与资金筹措表!$C$10*0.5),MIN(K21*收入和税金!J32%,投资计划与资金筹措表!$C$10*0.5-J31),0)</f>
        <v>#VALUE!</v>
      </c>
      <c r="L24" s="51" t="e">
        <f>IF(AND(L21&gt;0,K31&lt;=投资计划与资金筹措表!$C$10*0.5),MIN(L21*收入和税金!K32%,投资计划与资金筹措表!$C$10*0.5-K31),0)</f>
        <v>#VALUE!</v>
      </c>
      <c r="M24" s="51" t="e">
        <f>IF(AND(M21&gt;0,L31&lt;=投资计划与资金筹措表!$C$10*0.5),MIN(M21*收入和税金!L32%,投资计划与资金筹措表!$C$10*0.5-L31),0)</f>
        <v>#VALUE!</v>
      </c>
      <c r="N24" s="51" t="e">
        <f>IF(AND(N21&gt;0,M31&lt;=投资计划与资金筹措表!$C$10*0.5),MIN(N21*收入和税金!M32%,投资计划与资金筹措表!$C$10*0.5-M31),0)</f>
        <v>#VALUE!</v>
      </c>
      <c r="O24" s="51" t="e">
        <f>IF(AND(O21&gt;0,N31&lt;=投资计划与资金筹措表!$C$10*0.5),MIN(O21*收入和税金!N32%,投资计划与资金筹措表!$C$10*0.5-N31),0)</f>
        <v>#VALUE!</v>
      </c>
      <c r="P24" s="51" t="e">
        <f>IF(AND(P21&gt;0,O31&lt;=投资计划与资金筹措表!$C$10*0.5),MIN(P21*收入和税金!O32%,投资计划与资金筹措表!$C$10*0.5-O31),0)</f>
        <v>#VALUE!</v>
      </c>
      <c r="Q24" s="51" t="e">
        <f>IF(AND(Q21&gt;0,P31&lt;=投资计划与资金筹措表!$C$10*0.5),MIN(Q21*收入和税金!P32%,投资计划与资金筹措表!$C$10*0.5-P31),0)</f>
        <v>#VALUE!</v>
      </c>
      <c r="R24" s="51" t="e">
        <f>IF(AND(R21&gt;0,Q31&lt;=投资计划与资金筹措表!$C$10*0.5),MIN(R21*收入和税金!Q32%,投资计划与资金筹措表!$C$10*0.5-Q31),0)</f>
        <v>#VALUE!</v>
      </c>
      <c r="S24" s="51" t="e">
        <f>IF(AND(S21&gt;0,R31&lt;=投资计划与资金筹措表!$C$10*0.5),MIN(S21*收入和税金!R32%,投资计划与资金筹措表!$C$10*0.5-R31),0)</f>
        <v>#VALUE!</v>
      </c>
      <c r="T24" s="51" t="e">
        <f>IF(AND(T21&gt;0,S31&lt;=投资计划与资金筹措表!$C$10*0.5),MIN(T21*收入和税金!S32%,投资计划与资金筹措表!$C$10*0.5-S31),0)</f>
        <v>#VALUE!</v>
      </c>
      <c r="U24" s="51" t="e">
        <f>IF(AND(U21&gt;0,T31&lt;=投资计划与资金筹措表!$C$10*0.5),MIN(U21*收入和税金!T32%,投资计划与资金筹措表!$C$10*0.5-T31),0)</f>
        <v>#VALUE!</v>
      </c>
      <c r="V24" s="51" t="e">
        <f>IF(AND(V21&gt;0,U31&lt;=投资计划与资金筹措表!$C$10*0.5),MIN(V21*收入和税金!U32%,投资计划与资金筹措表!$C$10*0.5-U31),0)</f>
        <v>#VALUE!</v>
      </c>
      <c r="W24" s="51" t="e">
        <f>IF(AND(W21&gt;0,V31&lt;=投资计划与资金筹措表!$C$10*0.5),MIN(W21*收入和税金!V32%,投资计划与资金筹措表!$C$10*0.5-V31),0)</f>
        <v>#VALUE!</v>
      </c>
      <c r="X24" s="51" t="e">
        <f>IF(AND(X21&gt;0,W31&lt;=投资计划与资金筹措表!$C$10*0.5),MIN(X21*收入和税金!W32%,投资计划与资金筹措表!$C$10*0.5-W31),0)</f>
        <v>#VALUE!</v>
      </c>
      <c r="Y24" s="51" t="e">
        <f>IF(AND(Y21&gt;0,X31&lt;=投资计划与资金筹措表!$C$10*0.5),MIN(Y21*收入和税金!X32%,投资计划与资金筹措表!$C$10*0.5-X31),0)</f>
        <v>#VALUE!</v>
      </c>
      <c r="Z24" s="51" t="e">
        <f>IF(AND(Z21&gt;0,Y31&lt;=投资计划与资金筹措表!$C$10*0.5),MIN(Z21*收入和税金!Y32%,投资计划与资金筹措表!$C$10*0.5-Y31),0)</f>
        <v>#VALUE!</v>
      </c>
      <c r="AA24" s="51" t="e">
        <f>IF(AND(AA21&gt;0,Z31&lt;=投资计划与资金筹措表!$C$10*0.5),MIN(AA21*收入和税金!Z32%,投资计划与资金筹措表!$C$10*0.5-Z31),0)</f>
        <v>#VALUE!</v>
      </c>
      <c r="AB24" s="51" t="e">
        <f>IF(AND(AB21&gt;0,AA31&lt;=投资计划与资金筹措表!$C$10*0.5),MIN(AB21*收入和税金!AA32%,投资计划与资金筹措表!$C$10*0.5-AA31),0)</f>
        <v>#VALUE!</v>
      </c>
      <c r="AC24" s="51" t="e">
        <f>IF(AND(AC21&gt;0,AB31&lt;=投资计划与资金筹措表!$C$10*0.5),MIN(AC21*收入和税金!AB32%,投资计划与资金筹措表!$C$10*0.5-AB31),0)</f>
        <v>#VALUE!</v>
      </c>
    </row>
    <row r="25" ht="15" customHeight="1" spans="1:29">
      <c r="A25" s="68">
        <v>17</v>
      </c>
      <c r="B25" s="24" t="s">
        <v>525</v>
      </c>
      <c r="C25" s="51"/>
      <c r="D25" s="51">
        <f t="shared" ref="D25:AC25" si="9">D23-D24</f>
        <v>0</v>
      </c>
      <c r="E25" s="51" t="e">
        <f t="shared" si="9"/>
        <v>#VALUE!</v>
      </c>
      <c r="F25" s="51" t="e">
        <f t="shared" si="9"/>
        <v>#VALUE!</v>
      </c>
      <c r="G25" s="51" t="e">
        <f t="shared" si="9"/>
        <v>#VALUE!</v>
      </c>
      <c r="H25" s="51" t="e">
        <f t="shared" si="9"/>
        <v>#VALUE!</v>
      </c>
      <c r="I25" s="51" t="e">
        <f t="shared" si="9"/>
        <v>#VALUE!</v>
      </c>
      <c r="J25" s="51" t="e">
        <f t="shared" si="9"/>
        <v>#VALUE!</v>
      </c>
      <c r="K25" s="51" t="e">
        <f t="shared" si="9"/>
        <v>#VALUE!</v>
      </c>
      <c r="L25" s="51" t="e">
        <f t="shared" si="9"/>
        <v>#VALUE!</v>
      </c>
      <c r="M25" s="51" t="e">
        <f t="shared" si="9"/>
        <v>#VALUE!</v>
      </c>
      <c r="N25" s="51" t="e">
        <f t="shared" si="9"/>
        <v>#VALUE!</v>
      </c>
      <c r="O25" s="51" t="e">
        <f t="shared" si="9"/>
        <v>#VALUE!</v>
      </c>
      <c r="P25" s="51" t="e">
        <f t="shared" si="9"/>
        <v>#VALUE!</v>
      </c>
      <c r="Q25" s="51" t="e">
        <f t="shared" si="9"/>
        <v>#VALUE!</v>
      </c>
      <c r="R25" s="51" t="e">
        <f t="shared" si="9"/>
        <v>#VALUE!</v>
      </c>
      <c r="S25" s="51" t="e">
        <f t="shared" si="9"/>
        <v>#VALUE!</v>
      </c>
      <c r="T25" s="51" t="e">
        <f t="shared" si="9"/>
        <v>#VALUE!</v>
      </c>
      <c r="U25" s="51" t="e">
        <f t="shared" si="9"/>
        <v>#VALUE!</v>
      </c>
      <c r="V25" s="51" t="e">
        <f t="shared" si="9"/>
        <v>#VALUE!</v>
      </c>
      <c r="W25" s="51" t="e">
        <f t="shared" si="9"/>
        <v>#VALUE!</v>
      </c>
      <c r="X25" s="51" t="e">
        <f t="shared" si="9"/>
        <v>#VALUE!</v>
      </c>
      <c r="Y25" s="51" t="e">
        <f t="shared" si="9"/>
        <v>#VALUE!</v>
      </c>
      <c r="Z25" s="51" t="e">
        <f t="shared" si="9"/>
        <v>#VALUE!</v>
      </c>
      <c r="AA25" s="51" t="e">
        <f t="shared" si="9"/>
        <v>#VALUE!</v>
      </c>
      <c r="AB25" s="51" t="e">
        <f t="shared" si="9"/>
        <v>#VALUE!</v>
      </c>
      <c r="AC25" s="51" t="e">
        <f t="shared" si="9"/>
        <v>#VALUE!</v>
      </c>
    </row>
    <row r="26" ht="15" customHeight="1" spans="1:29">
      <c r="A26" s="68">
        <v>18</v>
      </c>
      <c r="B26" s="24" t="s">
        <v>526</v>
      </c>
      <c r="C26" s="51" t="e">
        <f>SUM(D26:AC26)</f>
        <v>#VALUE!</v>
      </c>
      <c r="D26" s="51">
        <f>IF(D21*收入和税金!C35/100&gt;0,D21*收入和税金!C35/100,0)</f>
        <v>0</v>
      </c>
      <c r="E26" s="51" t="e">
        <f>IF(E21*收入和税金!D35/100&gt;0,E21*收入和税金!D35/100,0)</f>
        <v>#VALUE!</v>
      </c>
      <c r="F26" s="51" t="e">
        <f>IF(F21*收入和税金!E35/100&gt;0,F21*收入和税金!E35/100,0)</f>
        <v>#VALUE!</v>
      </c>
      <c r="G26" s="51" t="e">
        <f>IF(G21*收入和税金!F35/100&gt;0,G21*收入和税金!F35/100,0)</f>
        <v>#VALUE!</v>
      </c>
      <c r="H26" s="51" t="e">
        <f>IF(H21*收入和税金!G35/100&gt;0,H21*收入和税金!G35/100,0)</f>
        <v>#VALUE!</v>
      </c>
      <c r="I26" s="51" t="e">
        <f>IF(I21*收入和税金!H35/100&gt;0,I21*收入和税金!H35/100,0)</f>
        <v>#VALUE!</v>
      </c>
      <c r="J26" s="51" t="e">
        <f>IF(J21*收入和税金!I35/100&gt;0,J21*收入和税金!I35/100,0)</f>
        <v>#VALUE!</v>
      </c>
      <c r="K26" s="51" t="e">
        <f>IF(K21*收入和税金!J35/100&gt;0,K21*收入和税金!J35/100,0)</f>
        <v>#VALUE!</v>
      </c>
      <c r="L26" s="51" t="e">
        <f>IF(L21*收入和税金!K35/100&gt;0,L21*收入和税金!K35/100,0)</f>
        <v>#VALUE!</v>
      </c>
      <c r="M26" s="51" t="e">
        <f>IF(M21*收入和税金!L35/100&gt;0,M21*收入和税金!L35/100,0)</f>
        <v>#VALUE!</v>
      </c>
      <c r="N26" s="51" t="e">
        <f>IF(N21*收入和税金!M35/100&gt;0,N21*收入和税金!M35/100,0)</f>
        <v>#VALUE!</v>
      </c>
      <c r="O26" s="51" t="e">
        <f>IF(O21*收入和税金!N35/100&gt;0,O21*收入和税金!N35/100,0)</f>
        <v>#VALUE!</v>
      </c>
      <c r="P26" s="51" t="e">
        <f>IF(P21*收入和税金!O35/100&gt;0,P21*收入和税金!O35/100,0)</f>
        <v>#VALUE!</v>
      </c>
      <c r="Q26" s="51" t="e">
        <f>IF(Q21*收入和税金!P35/100&gt;0,Q21*收入和税金!P35/100,0)</f>
        <v>#VALUE!</v>
      </c>
      <c r="R26" s="51" t="e">
        <f>IF(R21*收入和税金!Q35/100&gt;0,R21*收入和税金!Q35/100,0)</f>
        <v>#VALUE!</v>
      </c>
      <c r="S26" s="51" t="e">
        <f>IF(S21*收入和税金!R35/100&gt;0,S21*收入和税金!R35/100,0)</f>
        <v>#VALUE!</v>
      </c>
      <c r="T26" s="51" t="e">
        <f>IF(T21*收入和税金!S35/100&gt;0,T21*收入和税金!S35/100,0)</f>
        <v>#VALUE!</v>
      </c>
      <c r="U26" s="51" t="e">
        <f>IF(U21*收入和税金!T35/100&gt;0,U21*收入和税金!T35/100,0)</f>
        <v>#VALUE!</v>
      </c>
      <c r="V26" s="51" t="e">
        <f>IF(V21*收入和税金!U35/100&gt;0,V21*收入和税金!U35/100,0)</f>
        <v>#VALUE!</v>
      </c>
      <c r="W26" s="51" t="e">
        <f>IF(W21*收入和税金!V35/100&gt;0,W21*收入和税金!V35/100,0)</f>
        <v>#VALUE!</v>
      </c>
      <c r="X26" s="51" t="e">
        <f>IF(X21*收入和税金!W35/100&gt;0,X21*收入和税金!W35/100,0)</f>
        <v>#VALUE!</v>
      </c>
      <c r="Y26" s="51" t="e">
        <f>IF(Y21*收入和税金!X35/100&gt;0,Y21*收入和税金!X35/100,0)</f>
        <v>#VALUE!</v>
      </c>
      <c r="Z26" s="51" t="e">
        <f>IF(Z21*收入和税金!Y35/100&gt;0,Z21*收入和税金!Y35/100,0)</f>
        <v>#VALUE!</v>
      </c>
      <c r="AA26" s="51" t="e">
        <f>IF(AA21*收入和税金!Z35/100&gt;0,AA21*收入和税金!Z35/100,0)</f>
        <v>#VALUE!</v>
      </c>
      <c r="AB26" s="51" t="e">
        <f>IF(AB21*收入和税金!AA35/100&gt;0,AB21*收入和税金!AA35/100,0)</f>
        <v>#VALUE!</v>
      </c>
      <c r="AC26" s="51" t="e">
        <f>IF(AC21*收入和税金!AB35/100&gt;0,AC21*收入和税金!AB35/100,0)</f>
        <v>#VALUE!</v>
      </c>
    </row>
    <row r="27" ht="15" customHeight="1" spans="1:29">
      <c r="A27" s="68">
        <v>19</v>
      </c>
      <c r="B27" s="10" t="s">
        <v>527</v>
      </c>
      <c r="C27" s="51" t="e">
        <f>SUM(D27:AC27)</f>
        <v>#VALUE!</v>
      </c>
      <c r="D27" s="51">
        <f>IF(D25&lt;=0,0,MAX(MIN(D25*收入和税金!$C$12%,财务计划现金流量表!D5+财务计划现金流量表!D16+财务计划现金流量表!D25+财务计划现金流量表!D26+财务计划现金流量表!D27+财务计划现金流量表!D28+财务计划现金流量表!D30-财务计划现金流量表!D32-财务计划现金流量表!D33-财务计划现金流量表!D35+财务计划现金流量表!C37),0))</f>
        <v>0</v>
      </c>
      <c r="E27" s="51" t="e">
        <f>IF(E25&lt;=0,0,MAX(MIN(E25*收入和税金!$C$12%,财务计划现金流量表!E5+财务计划现金流量表!E16+财务计划现金流量表!E25+财务计划现金流量表!E26+财务计划现金流量表!E27+财务计划现金流量表!E28+财务计划现金流量表!E30-财务计划现金流量表!E32-财务计划现金流量表!E33-财务计划现金流量表!E35+财务计划现金流量表!D37),0))</f>
        <v>#VALUE!</v>
      </c>
      <c r="F27" s="51" t="e">
        <f>IF(F25&lt;=0,0,MAX(MIN(F25*收入和税金!$C$12%,财务计划现金流量表!F5+财务计划现金流量表!F16+财务计划现金流量表!F25+财务计划现金流量表!F26+财务计划现金流量表!F27+财务计划现金流量表!F28+财务计划现金流量表!F30-财务计划现金流量表!F32-财务计划现金流量表!F33-财务计划现金流量表!F35+财务计划现金流量表!E37),0))</f>
        <v>#VALUE!</v>
      </c>
      <c r="G27" s="51" t="e">
        <f>IF(G25&lt;=0,0,MAX(MIN(G25*收入和税金!$C$12%,财务计划现金流量表!G5+财务计划现金流量表!G16+财务计划现金流量表!G25+财务计划现金流量表!G26+财务计划现金流量表!G27+财务计划现金流量表!G28+财务计划现金流量表!G30-财务计划现金流量表!G32-财务计划现金流量表!G33-财务计划现金流量表!G35+财务计划现金流量表!F37),0))</f>
        <v>#VALUE!</v>
      </c>
      <c r="H27" s="51" t="e">
        <f>IF(H25&lt;=0,0,MAX(MIN(H25*收入和税金!$C$12%,财务计划现金流量表!H5+财务计划现金流量表!H16+财务计划现金流量表!H25+财务计划现金流量表!H26+财务计划现金流量表!H27+财务计划现金流量表!H28+财务计划现金流量表!H30-财务计划现金流量表!H32-财务计划现金流量表!H33-财务计划现金流量表!H35+财务计划现金流量表!G37),0))</f>
        <v>#VALUE!</v>
      </c>
      <c r="I27" s="51" t="e">
        <f>IF(I25&lt;=0,0,MAX(MIN(I25*收入和税金!$C$12%,财务计划现金流量表!I5+财务计划现金流量表!I16+财务计划现金流量表!I25+财务计划现金流量表!I26+财务计划现金流量表!I27+财务计划现金流量表!I28+财务计划现金流量表!I30-财务计划现金流量表!I32-财务计划现金流量表!I33-财务计划现金流量表!I35+财务计划现金流量表!H37),0))</f>
        <v>#VALUE!</v>
      </c>
      <c r="J27" s="51" t="e">
        <f>IF(J25&lt;=0,0,MAX(MIN(J25*收入和税金!$C$12%,财务计划现金流量表!J5+财务计划现金流量表!J16+财务计划现金流量表!J25+财务计划现金流量表!J26+财务计划现金流量表!J27+财务计划现金流量表!J28+财务计划现金流量表!J30-财务计划现金流量表!J32-财务计划现金流量表!J33-财务计划现金流量表!J35+财务计划现金流量表!I37),0))</f>
        <v>#VALUE!</v>
      </c>
      <c r="K27" s="51" t="e">
        <f>IF(K25&lt;=0,0,MAX(MIN(K25*收入和税金!$C$12%,财务计划现金流量表!K5+财务计划现金流量表!K16+财务计划现金流量表!K25+财务计划现金流量表!K26+财务计划现金流量表!K27+财务计划现金流量表!K28+财务计划现金流量表!K30-财务计划现金流量表!K32-财务计划现金流量表!K33-财务计划现金流量表!K35+财务计划现金流量表!J37),0))</f>
        <v>#VALUE!</v>
      </c>
      <c r="L27" s="51" t="e">
        <f>IF(L25&lt;=0,0,MAX(MIN(L25*收入和税金!$C$12%,财务计划现金流量表!L5+财务计划现金流量表!L16+财务计划现金流量表!L25+财务计划现金流量表!L26+财务计划现金流量表!L27+财务计划现金流量表!L28+财务计划现金流量表!L30-财务计划现金流量表!L32-财务计划现金流量表!L33-财务计划现金流量表!L35+财务计划现金流量表!K37),0))</f>
        <v>#VALUE!</v>
      </c>
      <c r="M27" s="51" t="e">
        <f>IF(M25&lt;=0,0,MAX(MIN(M25*收入和税金!$C$12%,财务计划现金流量表!M5+财务计划现金流量表!M16+财务计划现金流量表!M25+财务计划现金流量表!M26+财务计划现金流量表!M27+财务计划现金流量表!M28+财务计划现金流量表!M30-财务计划现金流量表!M32-财务计划现金流量表!M33-财务计划现金流量表!M35+财务计划现金流量表!L37),0))</f>
        <v>#VALUE!</v>
      </c>
      <c r="N27" s="51" t="e">
        <f>IF(N25&lt;=0,0,MAX(MIN(N25*收入和税金!$C$12%,财务计划现金流量表!N5+财务计划现金流量表!N16+财务计划现金流量表!N25+财务计划现金流量表!N26+财务计划现金流量表!N27+财务计划现金流量表!N28+财务计划现金流量表!N30-财务计划现金流量表!N32-财务计划现金流量表!N33-财务计划现金流量表!N35+财务计划现金流量表!M37),0))</f>
        <v>#VALUE!</v>
      </c>
      <c r="O27" s="51" t="e">
        <f>IF(O25&lt;=0,0,MAX(MIN(O25*收入和税金!$C$12%,财务计划现金流量表!O5+财务计划现金流量表!O16+财务计划现金流量表!O25+财务计划现金流量表!O26+财务计划现金流量表!O27+财务计划现金流量表!O28+财务计划现金流量表!O30-财务计划现金流量表!O32-财务计划现金流量表!O33-财务计划现金流量表!O35+财务计划现金流量表!N37),0))</f>
        <v>#VALUE!</v>
      </c>
      <c r="P27" s="51" t="e">
        <f>IF(P25&lt;=0,0,MAX(MIN(P25*收入和税金!$C$12%,财务计划现金流量表!P5+财务计划现金流量表!P16+财务计划现金流量表!P25+财务计划现金流量表!P26+财务计划现金流量表!P27+财务计划现金流量表!P28+财务计划现金流量表!P30-财务计划现金流量表!P32-财务计划现金流量表!P33-财务计划现金流量表!P35+财务计划现金流量表!O37),0))</f>
        <v>#VALUE!</v>
      </c>
      <c r="Q27" s="51" t="e">
        <f>IF(Q25&lt;=0,0,MAX(MIN(Q25*收入和税金!$C$12%,财务计划现金流量表!Q5+财务计划现金流量表!Q16+财务计划现金流量表!Q25+财务计划现金流量表!Q26+财务计划现金流量表!Q27+财务计划现金流量表!Q28+财务计划现金流量表!Q30-财务计划现金流量表!Q32-财务计划现金流量表!Q33-财务计划现金流量表!Q35+财务计划现金流量表!P37),0))</f>
        <v>#VALUE!</v>
      </c>
      <c r="R27" s="51" t="e">
        <f>IF(R25&lt;=0,0,MAX(MIN(R25*收入和税金!$C$12%,财务计划现金流量表!R5+财务计划现金流量表!R16+财务计划现金流量表!R25+财务计划现金流量表!R26+财务计划现金流量表!R27+财务计划现金流量表!R28+财务计划现金流量表!R30-财务计划现金流量表!R32-财务计划现金流量表!R33-财务计划现金流量表!R35+财务计划现金流量表!Q37),0))</f>
        <v>#VALUE!</v>
      </c>
      <c r="S27" s="51" t="e">
        <f>IF(S25&lt;=0,0,MAX(MIN(S25*收入和税金!$C$12%,财务计划现金流量表!S5+财务计划现金流量表!S16+财务计划现金流量表!S25+财务计划现金流量表!S26+财务计划现金流量表!S27+财务计划现金流量表!S28+财务计划现金流量表!S30-财务计划现金流量表!S32-财务计划现金流量表!S33-财务计划现金流量表!S35+财务计划现金流量表!R37),0))</f>
        <v>#VALUE!</v>
      </c>
      <c r="T27" s="51" t="e">
        <f>IF(T25&lt;=0,0,MAX(MIN(T25*收入和税金!$C$12%,财务计划现金流量表!T5+财务计划现金流量表!T16+财务计划现金流量表!T25+财务计划现金流量表!T26+财务计划现金流量表!T27+财务计划现金流量表!T28+财务计划现金流量表!T30-财务计划现金流量表!T32-财务计划现金流量表!T33-财务计划现金流量表!T35+财务计划现金流量表!S37),0))</f>
        <v>#VALUE!</v>
      </c>
      <c r="U27" s="51" t="e">
        <f>IF(U25&lt;=0,0,MAX(MIN(U25*收入和税金!$C$12%,财务计划现金流量表!U5+财务计划现金流量表!U16+财务计划现金流量表!U25+财务计划现金流量表!U26+财务计划现金流量表!U27+财务计划现金流量表!U28+财务计划现金流量表!U30-财务计划现金流量表!U32-财务计划现金流量表!U33-财务计划现金流量表!U35+财务计划现金流量表!T37),0))</f>
        <v>#VALUE!</v>
      </c>
      <c r="V27" s="51" t="e">
        <f>IF(V25&lt;=0,0,MAX(MIN(V25*收入和税金!$C$12%,财务计划现金流量表!V5+财务计划现金流量表!V16+财务计划现金流量表!V25+财务计划现金流量表!V26+财务计划现金流量表!V27+财务计划现金流量表!V28+财务计划现金流量表!V30-财务计划现金流量表!V32-财务计划现金流量表!V33-财务计划现金流量表!V35+财务计划现金流量表!U37),0))</f>
        <v>#VALUE!</v>
      </c>
      <c r="W27" s="51" t="e">
        <f>IF(W25&lt;=0,0,MAX(MIN(W25*收入和税金!$C$12%,财务计划现金流量表!W5+财务计划现金流量表!W16+财务计划现金流量表!W25+财务计划现金流量表!W26+财务计划现金流量表!W27+财务计划现金流量表!W28+财务计划现金流量表!W30-财务计划现金流量表!W32-财务计划现金流量表!W33-财务计划现金流量表!W35+财务计划现金流量表!V37),0))</f>
        <v>#VALUE!</v>
      </c>
      <c r="X27" s="51" t="e">
        <f>IF(X25&lt;=0,0,MAX(MIN(X25*收入和税金!$C$12%,财务计划现金流量表!X5+财务计划现金流量表!X16+财务计划现金流量表!X25+财务计划现金流量表!X26+财务计划现金流量表!X27+财务计划现金流量表!X28+财务计划现金流量表!X30-财务计划现金流量表!X32-财务计划现金流量表!X33-财务计划现金流量表!X35+财务计划现金流量表!W37),0))</f>
        <v>#VALUE!</v>
      </c>
      <c r="Y27" s="51" t="e">
        <f>IF(Y25&lt;=0,0,MAX(MIN(Y25*收入和税金!$C$12%,财务计划现金流量表!Y5+财务计划现金流量表!Y16+财务计划现金流量表!Y25+财务计划现金流量表!Y26+财务计划现金流量表!Y27+财务计划现金流量表!Y28+财务计划现金流量表!Y30-财务计划现金流量表!Y32-财务计划现金流量表!Y33-财务计划现金流量表!Y35+财务计划现金流量表!X37),0))</f>
        <v>#VALUE!</v>
      </c>
      <c r="Z27" s="51" t="e">
        <f>IF(Z25&lt;=0,0,MAX(MIN(Z25*收入和税金!$C$12%,财务计划现金流量表!Z5+财务计划现金流量表!Z16+财务计划现金流量表!Z25+财务计划现金流量表!Z26+财务计划现金流量表!Z27+财务计划现金流量表!Z28+财务计划现金流量表!Z30-财务计划现金流量表!Z32-财务计划现金流量表!Z33-财务计划现金流量表!Z35+财务计划现金流量表!Y37),0))</f>
        <v>#VALUE!</v>
      </c>
      <c r="AA27" s="51" t="e">
        <f>IF(AA25&lt;=0,0,MAX(MIN(AA25*收入和税金!$C$12%,财务计划现金流量表!AA5+财务计划现金流量表!AA16+财务计划现金流量表!AA25+财务计划现金流量表!AA26+财务计划现金流量表!AA27+财务计划现金流量表!AA28+财务计划现金流量表!AA30-财务计划现金流量表!AA32-财务计划现金流量表!AA33-财务计划现金流量表!AA35+财务计划现金流量表!Z37),0))</f>
        <v>#VALUE!</v>
      </c>
      <c r="AB27" s="51" t="e">
        <f>IF(AB25&lt;=0,0,MAX(MIN(AB25*收入和税金!$C$12%,财务计划现金流量表!AB5+财务计划现金流量表!AB16+财务计划现金流量表!AB25+财务计划现金流量表!AB26+财务计划现金流量表!AB27+财务计划现金流量表!AB28+财务计划现金流量表!AB30-财务计划现金流量表!AB32-财务计划现金流量表!AB33-财务计划现金流量表!AB35+财务计划现金流量表!AA37),0))</f>
        <v>#VALUE!</v>
      </c>
      <c r="AC27" s="51" t="e">
        <f>IF(AC25&lt;=0,0,MAX(MIN(AC25*收入和税金!$C$12%,财务计划现金流量表!AC5+财务计划现金流量表!AC16+财务计划现金流量表!AC25+财务计划现金流量表!AC26+财务计划现金流量表!AC27+财务计划现金流量表!AC28+财务计划现金流量表!AC30-财务计划现金流量表!AC32-财务计划现金流量表!AC33-财务计划现金流量表!AC35+财务计划现金流量表!AB37),0))</f>
        <v>#VALUE!</v>
      </c>
    </row>
    <row r="28" ht="15" customHeight="1" spans="1:29">
      <c r="A28" s="68">
        <v>20</v>
      </c>
      <c r="B28" s="24" t="s">
        <v>528</v>
      </c>
      <c r="C28" s="51"/>
      <c r="D28" s="51">
        <f t="shared" ref="D28:AC28" si="10">D25-D26-D27</f>
        <v>0</v>
      </c>
      <c r="E28" s="51" t="e">
        <f t="shared" si="10"/>
        <v>#VALUE!</v>
      </c>
      <c r="F28" s="51" t="e">
        <f t="shared" si="10"/>
        <v>#VALUE!</v>
      </c>
      <c r="G28" s="51" t="e">
        <f t="shared" si="10"/>
        <v>#VALUE!</v>
      </c>
      <c r="H28" s="51" t="e">
        <f t="shared" si="10"/>
        <v>#VALUE!</v>
      </c>
      <c r="I28" s="51" t="e">
        <f t="shared" si="10"/>
        <v>#VALUE!</v>
      </c>
      <c r="J28" s="51" t="e">
        <f t="shared" si="10"/>
        <v>#VALUE!</v>
      </c>
      <c r="K28" s="51" t="e">
        <f t="shared" si="10"/>
        <v>#VALUE!</v>
      </c>
      <c r="L28" s="51" t="e">
        <f t="shared" si="10"/>
        <v>#VALUE!</v>
      </c>
      <c r="M28" s="51" t="e">
        <f t="shared" si="10"/>
        <v>#VALUE!</v>
      </c>
      <c r="N28" s="51" t="e">
        <f t="shared" si="10"/>
        <v>#VALUE!</v>
      </c>
      <c r="O28" s="51" t="e">
        <f t="shared" si="10"/>
        <v>#VALUE!</v>
      </c>
      <c r="P28" s="51" t="e">
        <f t="shared" si="10"/>
        <v>#VALUE!</v>
      </c>
      <c r="Q28" s="51" t="e">
        <f t="shared" si="10"/>
        <v>#VALUE!</v>
      </c>
      <c r="R28" s="51" t="e">
        <f t="shared" si="10"/>
        <v>#VALUE!</v>
      </c>
      <c r="S28" s="51" t="e">
        <f t="shared" si="10"/>
        <v>#VALUE!</v>
      </c>
      <c r="T28" s="51" t="e">
        <f t="shared" si="10"/>
        <v>#VALUE!</v>
      </c>
      <c r="U28" s="51" t="e">
        <f t="shared" si="10"/>
        <v>#VALUE!</v>
      </c>
      <c r="V28" s="51" t="e">
        <f t="shared" si="10"/>
        <v>#VALUE!</v>
      </c>
      <c r="W28" s="51" t="e">
        <f t="shared" si="10"/>
        <v>#VALUE!</v>
      </c>
      <c r="X28" s="51" t="e">
        <f t="shared" si="10"/>
        <v>#VALUE!</v>
      </c>
      <c r="Y28" s="51" t="e">
        <f t="shared" si="10"/>
        <v>#VALUE!</v>
      </c>
      <c r="Z28" s="51" t="e">
        <f t="shared" si="10"/>
        <v>#VALUE!</v>
      </c>
      <c r="AA28" s="51" t="e">
        <f t="shared" si="10"/>
        <v>#VALUE!</v>
      </c>
      <c r="AB28" s="51" t="e">
        <f t="shared" si="10"/>
        <v>#VALUE!</v>
      </c>
      <c r="AC28" s="51" t="e">
        <f t="shared" si="10"/>
        <v>#VALUE!</v>
      </c>
    </row>
    <row r="29" ht="15" customHeight="1" spans="1:29">
      <c r="A29" s="68">
        <v>21</v>
      </c>
      <c r="B29" s="10" t="s">
        <v>529</v>
      </c>
      <c r="C29" s="51" t="e">
        <f>SUM(D29:AC29)</f>
        <v>#VALUE!</v>
      </c>
      <c r="D29" s="51">
        <f>D17+总成本费用表!D12</f>
        <v>0</v>
      </c>
      <c r="E29" s="51" t="e">
        <f>E17+总成本费用表!E12</f>
        <v>#VALUE!</v>
      </c>
      <c r="F29" s="51" t="e">
        <f>F17+总成本费用表!F12</f>
        <v>#VALUE!</v>
      </c>
      <c r="G29" s="51" t="e">
        <f>G17+总成本费用表!G12</f>
        <v>#VALUE!</v>
      </c>
      <c r="H29" s="51" t="e">
        <f>H17+总成本费用表!H12</f>
        <v>#VALUE!</v>
      </c>
      <c r="I29" s="51" t="e">
        <f>I17+总成本费用表!I12</f>
        <v>#VALUE!</v>
      </c>
      <c r="J29" s="51" t="e">
        <f>J17+总成本费用表!J12</f>
        <v>#VALUE!</v>
      </c>
      <c r="K29" s="51" t="e">
        <f>K17+总成本费用表!K12</f>
        <v>#VALUE!</v>
      </c>
      <c r="L29" s="51" t="e">
        <f>L17+总成本费用表!L12</f>
        <v>#VALUE!</v>
      </c>
      <c r="M29" s="51" t="e">
        <f>M17+总成本费用表!M12</f>
        <v>#VALUE!</v>
      </c>
      <c r="N29" s="51" t="e">
        <f>N17+总成本费用表!N12</f>
        <v>#VALUE!</v>
      </c>
      <c r="O29" s="51" t="e">
        <f>O17+总成本费用表!O12</f>
        <v>#VALUE!</v>
      </c>
      <c r="P29" s="51" t="e">
        <f>P17+总成本费用表!P12</f>
        <v>#VALUE!</v>
      </c>
      <c r="Q29" s="51" t="e">
        <f>Q17+总成本费用表!Q12</f>
        <v>#VALUE!</v>
      </c>
      <c r="R29" s="51" t="e">
        <f>R17+总成本费用表!R12</f>
        <v>#VALUE!</v>
      </c>
      <c r="S29" s="51" t="e">
        <f>S17+总成本费用表!S12</f>
        <v>#VALUE!</v>
      </c>
      <c r="T29" s="51" t="e">
        <f>T17+总成本费用表!T12</f>
        <v>#VALUE!</v>
      </c>
      <c r="U29" s="51" t="e">
        <f>U17+总成本费用表!U12</f>
        <v>#VALUE!</v>
      </c>
      <c r="V29" s="51" t="e">
        <f>V17+总成本费用表!V12</f>
        <v>#VALUE!</v>
      </c>
      <c r="W29" s="51" t="e">
        <f>W17+总成本费用表!W12</f>
        <v>#VALUE!</v>
      </c>
      <c r="X29" s="51" t="e">
        <f>X17+总成本费用表!X12</f>
        <v>#VALUE!</v>
      </c>
      <c r="Y29" s="51" t="e">
        <f>Y17+总成本费用表!Y12</f>
        <v>#VALUE!</v>
      </c>
      <c r="Z29" s="51" t="e">
        <f>Z17+总成本费用表!Z12</f>
        <v>#VALUE!</v>
      </c>
      <c r="AA29" s="51" t="e">
        <f>AA17+总成本费用表!AA12</f>
        <v>#VALUE!</v>
      </c>
      <c r="AB29" s="51" t="e">
        <f>AB17+总成本费用表!AB12</f>
        <v>#VALUE!</v>
      </c>
      <c r="AC29" s="51" t="e">
        <f>AC17+总成本费用表!AC12</f>
        <v>#VALUE!</v>
      </c>
    </row>
    <row r="30" ht="15" customHeight="1" spans="1:29">
      <c r="A30" s="68">
        <v>22</v>
      </c>
      <c r="B30" s="24" t="s">
        <v>530</v>
      </c>
      <c r="C30" s="51" t="e">
        <f>SUM(D30:AC30)</f>
        <v>#VALUE!</v>
      </c>
      <c r="D30" s="51">
        <f>D29+总成本费用表!D5+总成本费用表!D11</f>
        <v>0</v>
      </c>
      <c r="E30" s="51" t="e">
        <f>E29+总成本费用表!E5+总成本费用表!E11</f>
        <v>#VALUE!</v>
      </c>
      <c r="F30" s="51" t="e">
        <f>F29+总成本费用表!F5+总成本费用表!F11</f>
        <v>#VALUE!</v>
      </c>
      <c r="G30" s="51" t="e">
        <f>G29+总成本费用表!G5+总成本费用表!G11</f>
        <v>#VALUE!</v>
      </c>
      <c r="H30" s="51" t="e">
        <f>H29+总成本费用表!H5+总成本费用表!H11</f>
        <v>#VALUE!</v>
      </c>
      <c r="I30" s="51" t="e">
        <f>I29+总成本费用表!I5+总成本费用表!I11</f>
        <v>#VALUE!</v>
      </c>
      <c r="J30" s="51" t="e">
        <f>J29+总成本费用表!J5+总成本费用表!J11</f>
        <v>#VALUE!</v>
      </c>
      <c r="K30" s="51" t="e">
        <f>K29+总成本费用表!K5+总成本费用表!K11</f>
        <v>#VALUE!</v>
      </c>
      <c r="L30" s="51" t="e">
        <f>L29+总成本费用表!L5+总成本费用表!L11</f>
        <v>#VALUE!</v>
      </c>
      <c r="M30" s="51" t="e">
        <f>M29+总成本费用表!M5+总成本费用表!M11</f>
        <v>#VALUE!</v>
      </c>
      <c r="N30" s="51" t="e">
        <f>N29+总成本费用表!N5+总成本费用表!N11</f>
        <v>#VALUE!</v>
      </c>
      <c r="O30" s="51" t="e">
        <f>O29+总成本费用表!O5+总成本费用表!O11</f>
        <v>#VALUE!</v>
      </c>
      <c r="P30" s="51" t="e">
        <f>P29+总成本费用表!P5+总成本费用表!P11</f>
        <v>#VALUE!</v>
      </c>
      <c r="Q30" s="51" t="e">
        <f>Q29+总成本费用表!Q5+总成本费用表!Q11</f>
        <v>#VALUE!</v>
      </c>
      <c r="R30" s="51" t="e">
        <f>R29+总成本费用表!R5+总成本费用表!R11</f>
        <v>#VALUE!</v>
      </c>
      <c r="S30" s="51" t="e">
        <f>S29+总成本费用表!S5+总成本费用表!S11</f>
        <v>#VALUE!</v>
      </c>
      <c r="T30" s="51" t="e">
        <f>T29+总成本费用表!T5+总成本费用表!T11</f>
        <v>#VALUE!</v>
      </c>
      <c r="U30" s="51" t="e">
        <f>U29+总成本费用表!U5+总成本费用表!U11</f>
        <v>#VALUE!</v>
      </c>
      <c r="V30" s="51" t="e">
        <f>V29+总成本费用表!V5+总成本费用表!V11</f>
        <v>#VALUE!</v>
      </c>
      <c r="W30" s="51" t="e">
        <f>W29+总成本费用表!W5+总成本费用表!W11</f>
        <v>#VALUE!</v>
      </c>
      <c r="X30" s="51" t="e">
        <f>X29+总成本费用表!X5+总成本费用表!X11</f>
        <v>#VALUE!</v>
      </c>
      <c r="Y30" s="51" t="e">
        <f>Y29+总成本费用表!Y5+总成本费用表!Y11</f>
        <v>#VALUE!</v>
      </c>
      <c r="Z30" s="51" t="e">
        <f>Z29+总成本费用表!Z5+总成本费用表!Z11</f>
        <v>#VALUE!</v>
      </c>
      <c r="AA30" s="51" t="e">
        <f>AA29+总成本费用表!AA5+总成本费用表!AA11</f>
        <v>#VALUE!</v>
      </c>
      <c r="AB30" s="51" t="e">
        <f>AB29+总成本费用表!AB5+总成本费用表!AB11</f>
        <v>#VALUE!</v>
      </c>
      <c r="AC30" s="51" t="e">
        <f>AC29+总成本费用表!AC5+总成本费用表!AC11</f>
        <v>#VALUE!</v>
      </c>
    </row>
    <row r="31" ht="15" customHeight="1" spans="1:29">
      <c r="A31" s="97">
        <v>23</v>
      </c>
      <c r="B31" s="10" t="s">
        <v>531</v>
      </c>
      <c r="C31" s="51"/>
      <c r="D31" s="51">
        <f t="shared" ref="D31:AC31" si="11">C31+D24</f>
        <v>0</v>
      </c>
      <c r="E31" s="51" t="e">
        <f t="shared" si="11"/>
        <v>#VALUE!</v>
      </c>
      <c r="F31" s="51" t="e">
        <f t="shared" si="11"/>
        <v>#VALUE!</v>
      </c>
      <c r="G31" s="51" t="e">
        <f t="shared" si="11"/>
        <v>#VALUE!</v>
      </c>
      <c r="H31" s="51" t="e">
        <f t="shared" si="11"/>
        <v>#VALUE!</v>
      </c>
      <c r="I31" s="51" t="e">
        <f t="shared" si="11"/>
        <v>#VALUE!</v>
      </c>
      <c r="J31" s="51" t="e">
        <f t="shared" si="11"/>
        <v>#VALUE!</v>
      </c>
      <c r="K31" s="51" t="e">
        <f t="shared" si="11"/>
        <v>#VALUE!</v>
      </c>
      <c r="L31" s="51" t="e">
        <f t="shared" si="11"/>
        <v>#VALUE!</v>
      </c>
      <c r="M31" s="51" t="e">
        <f t="shared" si="11"/>
        <v>#VALUE!</v>
      </c>
      <c r="N31" s="51" t="e">
        <f t="shared" si="11"/>
        <v>#VALUE!</v>
      </c>
      <c r="O31" s="51" t="e">
        <f t="shared" si="11"/>
        <v>#VALUE!</v>
      </c>
      <c r="P31" s="51" t="e">
        <f t="shared" si="11"/>
        <v>#VALUE!</v>
      </c>
      <c r="Q31" s="51" t="e">
        <f t="shared" si="11"/>
        <v>#VALUE!</v>
      </c>
      <c r="R31" s="51" t="e">
        <f t="shared" si="11"/>
        <v>#VALUE!</v>
      </c>
      <c r="S31" s="51" t="e">
        <f t="shared" si="11"/>
        <v>#VALUE!</v>
      </c>
      <c r="T31" s="51" t="e">
        <f t="shared" si="11"/>
        <v>#VALUE!</v>
      </c>
      <c r="U31" s="51" t="e">
        <f t="shared" si="11"/>
        <v>#VALUE!</v>
      </c>
      <c r="V31" s="51" t="e">
        <f t="shared" si="11"/>
        <v>#VALUE!</v>
      </c>
      <c r="W31" s="51" t="e">
        <f t="shared" si="11"/>
        <v>#VALUE!</v>
      </c>
      <c r="X31" s="51" t="e">
        <f t="shared" si="11"/>
        <v>#VALUE!</v>
      </c>
      <c r="Y31" s="51" t="e">
        <f t="shared" si="11"/>
        <v>#VALUE!</v>
      </c>
      <c r="Z31" s="51" t="e">
        <f t="shared" si="11"/>
        <v>#VALUE!</v>
      </c>
      <c r="AA31" s="51" t="e">
        <f t="shared" si="11"/>
        <v>#VALUE!</v>
      </c>
      <c r="AB31" s="51" t="e">
        <f t="shared" si="11"/>
        <v>#VALUE!</v>
      </c>
      <c r="AC31" s="51" t="e">
        <f t="shared" si="11"/>
        <v>#VALUE!</v>
      </c>
    </row>
    <row r="32" ht="17.25" hidden="1" customHeight="1" spans="1:29">
      <c r="A32" s="104" t="s">
        <v>507</v>
      </c>
      <c r="B32" s="24" t="s">
        <v>532</v>
      </c>
      <c r="C32" s="51">
        <f>SUM(D32:AC32)</f>
        <v>0</v>
      </c>
      <c r="D32" s="51">
        <f>IF(基本参数!$B$16="否",基本参数!B15,0)</f>
        <v>0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 ht="17.25" hidden="1" customHeight="1" spans="1:29">
      <c r="A33" s="68"/>
      <c r="B33" s="24" t="s">
        <v>533</v>
      </c>
      <c r="C33" s="51" t="e">
        <f>SUM(D33:AC33)</f>
        <v>#VALUE!</v>
      </c>
      <c r="D33" s="51">
        <f>D9*收入和税金!C16/100+收入和税金!C48-收入和税金!C49+收入和税金!C62-收入和税金!C63</f>
        <v>0</v>
      </c>
      <c r="E33" s="51" t="e">
        <f>E9*收入和税金!D16/100+收入和税金!D48-收入和税金!D49+收入和税金!D62-收入和税金!D63</f>
        <v>#VALUE!</v>
      </c>
      <c r="F33" s="51" t="e">
        <f>F9*收入和税金!E16/100+收入和税金!E48-收入和税金!E49+收入和税金!E62-收入和税金!E63</f>
        <v>#VALUE!</v>
      </c>
      <c r="G33" s="51" t="e">
        <f>G9*收入和税金!F16/100+收入和税金!F48-收入和税金!F49+收入和税金!F62-收入和税金!F63</f>
        <v>#VALUE!</v>
      </c>
      <c r="H33" s="51" t="e">
        <f>H9*收入和税金!G16/100+收入和税金!G48-收入和税金!G49+收入和税金!G62-收入和税金!G63</f>
        <v>#VALUE!</v>
      </c>
      <c r="I33" s="51" t="e">
        <f>I9*收入和税金!H16/100+收入和税金!H48-收入和税金!H49+收入和税金!H62-收入和税金!H63</f>
        <v>#VALUE!</v>
      </c>
      <c r="J33" s="51" t="e">
        <f>J9*收入和税金!I16/100+收入和税金!I48-收入和税金!I49+收入和税金!I62-收入和税金!I63</f>
        <v>#VALUE!</v>
      </c>
      <c r="K33" s="51" t="e">
        <f>K9*收入和税金!J16/100+收入和税金!J48-收入和税金!J49+收入和税金!J62-收入和税金!J63</f>
        <v>#VALUE!</v>
      </c>
      <c r="L33" s="51" t="e">
        <f>L9*收入和税金!K16/100+收入和税金!K48-收入和税金!K49+收入和税金!K62-收入和税金!K63</f>
        <v>#VALUE!</v>
      </c>
      <c r="M33" s="51" t="e">
        <f>M9*收入和税金!L16/100+收入和税金!L48-收入和税金!L49+收入和税金!L62-收入和税金!L63</f>
        <v>#VALUE!</v>
      </c>
      <c r="N33" s="51" t="e">
        <f>N9*收入和税金!M16/100+收入和税金!M48-收入和税金!M49+收入和税金!M62-收入和税金!M63</f>
        <v>#VALUE!</v>
      </c>
      <c r="O33" s="51" t="e">
        <f>O9*收入和税金!N16/100+收入和税金!N48-收入和税金!N49+收入和税金!N62-收入和税金!N63</f>
        <v>#VALUE!</v>
      </c>
      <c r="P33" s="51" t="e">
        <f>P9*收入和税金!O16/100+收入和税金!O48-收入和税金!O49+收入和税金!O62-收入和税金!O63</f>
        <v>#VALUE!</v>
      </c>
      <c r="Q33" s="51" t="e">
        <f>Q9*收入和税金!P16/100+收入和税金!P48-收入和税金!P49+收入和税金!P62-收入和税金!P63</f>
        <v>#VALUE!</v>
      </c>
      <c r="R33" s="51" t="e">
        <f>R9*收入和税金!Q16/100+收入和税金!Q48-收入和税金!Q49+收入和税金!Q62-收入和税金!Q63</f>
        <v>#VALUE!</v>
      </c>
      <c r="S33" s="51" t="e">
        <f>S9*收入和税金!R16/100+收入和税金!R48-收入和税金!R49+收入和税金!R62-收入和税金!R63</f>
        <v>#VALUE!</v>
      </c>
      <c r="T33" s="51" t="e">
        <f>T9*收入和税金!S16/100+收入和税金!S48-收入和税金!S49+收入和税金!S62-收入和税金!S63</f>
        <v>#VALUE!</v>
      </c>
      <c r="U33" s="51" t="e">
        <f>U9*收入和税金!T16/100+收入和税金!T48-收入和税金!T49+收入和税金!T62-收入和税金!T63</f>
        <v>#VALUE!</v>
      </c>
      <c r="V33" s="51" t="e">
        <f>V9*收入和税金!U16/100+收入和税金!U48-收入和税金!U49+收入和税金!U62-收入和税金!U63</f>
        <v>#VALUE!</v>
      </c>
      <c r="W33" s="51" t="e">
        <f>W9*收入和税金!V16/100+收入和税金!V48-收入和税金!V49+收入和税金!V62-收入和税金!V63</f>
        <v>#VALUE!</v>
      </c>
      <c r="X33" s="51" t="e">
        <f>X9*收入和税金!W16/100+收入和税金!W48-收入和税金!W49+收入和税金!W62-收入和税金!W63</f>
        <v>#VALUE!</v>
      </c>
      <c r="Y33" s="51" t="e">
        <f>Y9*收入和税金!X16/100+收入和税金!X48-收入和税金!X49+收入和税金!X62-收入和税金!X63</f>
        <v>#VALUE!</v>
      </c>
      <c r="Z33" s="51" t="e">
        <f>Z9*收入和税金!Y16/100+收入和税金!Y48-收入和税金!Y49+收入和税金!Y62-收入和税金!Y63</f>
        <v>#VALUE!</v>
      </c>
      <c r="AA33" s="51" t="e">
        <f>AA9*收入和税金!Z16/100+收入和税金!Z48-收入和税金!Z49+收入和税金!Z62-收入和税金!Z63</f>
        <v>#VALUE!</v>
      </c>
      <c r="AB33" s="51" t="e">
        <f>AB9*收入和税金!AA16/100+收入和税金!AA48-收入和税金!AA49+收入和税金!AA62-收入和税金!AA63</f>
        <v>#VALUE!</v>
      </c>
      <c r="AC33" s="51" t="e">
        <f>AC9*收入和税金!AB16/100+收入和税金!AB48-收入和税金!AB49+收入和税金!AB62-收入和税金!AB63</f>
        <v>#VALUE!</v>
      </c>
    </row>
    <row r="34" ht="17.25" hidden="1" customHeight="1" spans="1:29">
      <c r="A34" s="68"/>
      <c r="B34" s="24" t="s">
        <v>534</v>
      </c>
      <c r="C34" s="51"/>
      <c r="D34" s="51">
        <f>IF(COLUMN()-3&lt;=基本参数!$B$2,C34+D33,0)</f>
        <v>0</v>
      </c>
      <c r="E34" s="51" t="e">
        <f>IF(COLUMN()-3&lt;=基本参数!$B$2,D34+E33,0)</f>
        <v>#VALUE!</v>
      </c>
      <c r="F34" s="51" t="e">
        <f>IF(COLUMN()-3&lt;=基本参数!$B$2,E34+F33,0)</f>
        <v>#VALUE!</v>
      </c>
      <c r="G34" s="51" t="e">
        <f>IF(COLUMN()-3&lt;=基本参数!$B$2,F34+G33,0)</f>
        <v>#VALUE!</v>
      </c>
      <c r="H34" s="51" t="e">
        <f>IF(COLUMN()-3&lt;=基本参数!$B$2,G34+H33,0)</f>
        <v>#VALUE!</v>
      </c>
      <c r="I34" s="51" t="e">
        <f>IF(COLUMN()-3&lt;=基本参数!$B$2,H34+I33,0)</f>
        <v>#VALUE!</v>
      </c>
      <c r="J34" s="51" t="e">
        <f>IF(COLUMN()-3&lt;=基本参数!$B$2,I34+J33,0)</f>
        <v>#VALUE!</v>
      </c>
      <c r="K34" s="51" t="e">
        <f>IF(COLUMN()-3&lt;=基本参数!$B$2,J34+K33,0)</f>
        <v>#VALUE!</v>
      </c>
      <c r="L34" s="51" t="e">
        <f>IF(COLUMN()-3&lt;=基本参数!$B$2,K34+L33,0)</f>
        <v>#VALUE!</v>
      </c>
      <c r="M34" s="51" t="e">
        <f>IF(COLUMN()-3&lt;=基本参数!$B$2,L34+M33,0)</f>
        <v>#VALUE!</v>
      </c>
      <c r="N34" s="51" t="e">
        <f>IF(COLUMN()-3&lt;=基本参数!$B$2,M34+N33,0)</f>
        <v>#VALUE!</v>
      </c>
      <c r="O34" s="51" t="e">
        <f>IF(COLUMN()-3&lt;=基本参数!$B$2,N34+O33,0)</f>
        <v>#VALUE!</v>
      </c>
      <c r="P34" s="51" t="e">
        <f>IF(COLUMN()-3&lt;=基本参数!$B$2,O34+P33,0)</f>
        <v>#VALUE!</v>
      </c>
      <c r="Q34" s="51" t="e">
        <f>IF(COLUMN()-3&lt;=基本参数!$B$2,P34+Q33,0)</f>
        <v>#VALUE!</v>
      </c>
      <c r="R34" s="51" t="e">
        <f>IF(COLUMN()-3&lt;=基本参数!$B$2,Q34+R33,0)</f>
        <v>#VALUE!</v>
      </c>
      <c r="S34" s="51" t="e">
        <f>IF(COLUMN()-3&lt;=基本参数!$B$2,R34+S33,0)</f>
        <v>#VALUE!</v>
      </c>
      <c r="T34" s="51" t="e">
        <f>IF(COLUMN()-3&lt;=基本参数!$B$2,S34+T33,0)</f>
        <v>#VALUE!</v>
      </c>
      <c r="U34" s="51" t="e">
        <f>IF(COLUMN()-3&lt;=基本参数!$B$2,T34+U33,0)</f>
        <v>#VALUE!</v>
      </c>
      <c r="V34" s="51" t="e">
        <f>IF(COLUMN()-3&lt;=基本参数!$B$2,U34+V33,0)</f>
        <v>#VALUE!</v>
      </c>
      <c r="W34" s="51" t="e">
        <f>IF(COLUMN()-3&lt;=基本参数!$B$2,V34+W33,0)</f>
        <v>#VALUE!</v>
      </c>
      <c r="X34" s="51" t="e">
        <f>IF(COLUMN()-3&lt;=基本参数!$B$2,W34+X33,0)</f>
        <v>#VALUE!</v>
      </c>
      <c r="Y34" s="51" t="e">
        <f>IF(COLUMN()-3&lt;=基本参数!$B$2,X34+Y33,0)</f>
        <v>#VALUE!</v>
      </c>
      <c r="Z34" s="51" t="e">
        <f>IF(COLUMN()-3&lt;=基本参数!$B$2,Y34+Z33,0)</f>
        <v>#VALUE!</v>
      </c>
      <c r="AA34" s="51" t="e">
        <f>IF(COLUMN()-3&lt;=基本参数!$B$2,Z34+AA33,0)</f>
        <v>#VALUE!</v>
      </c>
      <c r="AB34" s="51" t="e">
        <f>IF(COLUMN()-3&lt;=基本参数!$B$2,AA34+AB33,0)</f>
        <v>#VALUE!</v>
      </c>
      <c r="AC34" s="51" t="e">
        <f>IF(COLUMN()-3&lt;=基本参数!$B$2,AB34+AC33,0)</f>
        <v>#VALUE!</v>
      </c>
    </row>
    <row r="35" ht="17.25" hidden="1" customHeight="1" spans="1:29">
      <c r="A35" s="68"/>
      <c r="B35" s="24" t="s">
        <v>535</v>
      </c>
      <c r="C35" s="51">
        <f>SUM(D35:AC35)</f>
        <v>0</v>
      </c>
      <c r="D35" s="51">
        <f>成本费用!C74</f>
        <v>0</v>
      </c>
      <c r="E35" s="51">
        <f>成本费用!D74</f>
        <v>0</v>
      </c>
      <c r="F35" s="51">
        <f>成本费用!E74</f>
        <v>0</v>
      </c>
      <c r="G35" s="51">
        <f>成本费用!F74</f>
        <v>0</v>
      </c>
      <c r="H35" s="51">
        <f>成本费用!G74</f>
        <v>0</v>
      </c>
      <c r="I35" s="51">
        <f>成本费用!H74</f>
        <v>0</v>
      </c>
      <c r="J35" s="51">
        <f>成本费用!I74</f>
        <v>0</v>
      </c>
      <c r="K35" s="51">
        <f>成本费用!J74</f>
        <v>0</v>
      </c>
      <c r="L35" s="51">
        <f>成本费用!K74</f>
        <v>0</v>
      </c>
      <c r="M35" s="51">
        <f>成本费用!L74</f>
        <v>0</v>
      </c>
      <c r="N35" s="51">
        <f>成本费用!M74</f>
        <v>0</v>
      </c>
      <c r="O35" s="51">
        <f>成本费用!N74</f>
        <v>0</v>
      </c>
      <c r="P35" s="51">
        <f>成本费用!O74</f>
        <v>0</v>
      </c>
      <c r="Q35" s="51">
        <f>成本费用!P74</f>
        <v>0</v>
      </c>
      <c r="R35" s="51">
        <f>成本费用!Q74</f>
        <v>0</v>
      </c>
      <c r="S35" s="51">
        <f>成本费用!R74</f>
        <v>0</v>
      </c>
      <c r="T35" s="51">
        <f>成本费用!S74</f>
        <v>0</v>
      </c>
      <c r="U35" s="51">
        <f>成本费用!T74</f>
        <v>0</v>
      </c>
      <c r="V35" s="51">
        <f>成本费用!U74</f>
        <v>0</v>
      </c>
      <c r="W35" s="51">
        <f>成本费用!V74</f>
        <v>0</v>
      </c>
      <c r="X35" s="51">
        <f>成本费用!W74</f>
        <v>0</v>
      </c>
      <c r="Y35" s="51">
        <f>成本费用!X74</f>
        <v>0</v>
      </c>
      <c r="Z35" s="51">
        <f>成本费用!Y74</f>
        <v>0</v>
      </c>
      <c r="AA35" s="51">
        <f>成本费用!Z74</f>
        <v>0</v>
      </c>
      <c r="AB35" s="51">
        <f>成本费用!AA74</f>
        <v>0</v>
      </c>
      <c r="AC35" s="51">
        <f>成本费用!AB74</f>
        <v>0</v>
      </c>
    </row>
    <row r="36" ht="17.25" hidden="1" customHeight="1" spans="1:29">
      <c r="A36" s="68"/>
      <c r="B36" s="24" t="s">
        <v>536</v>
      </c>
      <c r="C36" s="51"/>
      <c r="D36" s="51">
        <f>IF(COLUMN()-3&lt;=基本参数!$B$2,C36+D35,0)</f>
        <v>0</v>
      </c>
      <c r="E36" s="51">
        <f>IF(COLUMN()-3&lt;=基本参数!$B$2,D36+E35,0)</f>
        <v>0</v>
      </c>
      <c r="F36" s="51">
        <f>IF(COLUMN()-3&lt;=基本参数!$B$2,E36+F35,0)</f>
        <v>0</v>
      </c>
      <c r="G36" s="51">
        <f>IF(COLUMN()-3&lt;=基本参数!$B$2,F36+G35,0)</f>
        <v>0</v>
      </c>
      <c r="H36" s="51">
        <f>IF(COLUMN()-3&lt;=基本参数!$B$2,G36+H35,0)</f>
        <v>0</v>
      </c>
      <c r="I36" s="51">
        <f>IF(COLUMN()-3&lt;=基本参数!$B$2,H36+I35,0)</f>
        <v>0</v>
      </c>
      <c r="J36" s="51">
        <f>IF(COLUMN()-3&lt;=基本参数!$B$2,I36+J35,0)</f>
        <v>0</v>
      </c>
      <c r="K36" s="51">
        <f>IF(COLUMN()-3&lt;=基本参数!$B$2,J36+K35,0)</f>
        <v>0</v>
      </c>
      <c r="L36" s="51">
        <f>IF(COLUMN()-3&lt;=基本参数!$B$2,K36+L35,0)</f>
        <v>0</v>
      </c>
      <c r="M36" s="51">
        <f>IF(COLUMN()-3&lt;=基本参数!$B$2,L36+M35,0)</f>
        <v>0</v>
      </c>
      <c r="N36" s="51">
        <f>IF(COLUMN()-3&lt;=基本参数!$B$2,M36+N35,0)</f>
        <v>0</v>
      </c>
      <c r="O36" s="51">
        <f>IF(COLUMN()-3&lt;=基本参数!$B$2,N36+O35,0)</f>
        <v>0</v>
      </c>
      <c r="P36" s="51">
        <f>IF(COLUMN()-3&lt;=基本参数!$B$2,O36+P35,0)</f>
        <v>0</v>
      </c>
      <c r="Q36" s="51">
        <f>IF(COLUMN()-3&lt;=基本参数!$B$2,P36+Q35,0)</f>
        <v>0</v>
      </c>
      <c r="R36" s="51">
        <f>IF(COLUMN()-3&lt;=基本参数!$B$2,Q36+R35,0)</f>
        <v>0</v>
      </c>
      <c r="S36" s="51">
        <f>IF(COLUMN()-3&lt;=基本参数!$B$2,R36+S35,0)</f>
        <v>0</v>
      </c>
      <c r="T36" s="51">
        <f>IF(COLUMN()-3&lt;=基本参数!$B$2,S36+T35,0)</f>
        <v>0</v>
      </c>
      <c r="U36" s="51">
        <f>IF(COLUMN()-3&lt;=基本参数!$B$2,T36+U35,0)</f>
        <v>0</v>
      </c>
      <c r="V36" s="51">
        <f>IF(COLUMN()-3&lt;=基本参数!$B$2,U36+V35,0)</f>
        <v>0</v>
      </c>
      <c r="W36" s="51">
        <f>IF(COLUMN()-3&lt;=基本参数!$B$2,V36+W35,0)</f>
        <v>0</v>
      </c>
      <c r="X36" s="51">
        <f>IF(COLUMN()-3&lt;=基本参数!$B$2,W36+X35,0)</f>
        <v>0</v>
      </c>
      <c r="Y36" s="51">
        <f>IF(COLUMN()-3&lt;=基本参数!$B$2,X36+Y35,0)</f>
        <v>0</v>
      </c>
      <c r="Z36" s="51">
        <f>IF(COLUMN()-3&lt;=基本参数!$B$2,Y36+Z35,0)</f>
        <v>0</v>
      </c>
      <c r="AA36" s="51">
        <f>IF(COLUMN()-3&lt;=基本参数!$B$2,Z36+AA35,0)</f>
        <v>0</v>
      </c>
      <c r="AB36" s="51">
        <f>IF(COLUMN()-3&lt;=基本参数!$B$2,AA36+AB35,0)</f>
        <v>0</v>
      </c>
      <c r="AC36" s="51">
        <f>IF(COLUMN()-3&lt;=基本参数!$B$2,AB36+AC35,0)</f>
        <v>0</v>
      </c>
    </row>
    <row r="37" ht="17.25" hidden="1" customHeight="1" spans="1:29">
      <c r="A37" s="68"/>
      <c r="B37" s="10" t="s">
        <v>537</v>
      </c>
      <c r="C37" s="51" t="e">
        <f>SUM(D37:AC37)</f>
        <v>#VALUE!</v>
      </c>
      <c r="D37" s="51">
        <f>IF(D34-D36&lt;=SUM($D$32:D32),0,MIN(D34-D36-SUM($D$32:D32),D33-D35))</f>
        <v>0</v>
      </c>
      <c r="E37" s="51" t="e">
        <f>IF(E34-E36&lt;=SUM($D$32:E32),0,MIN(E34-E36-SUM($D$32:E32),E33-E35))</f>
        <v>#VALUE!</v>
      </c>
      <c r="F37" s="51" t="e">
        <f>IF(F34-F36&lt;=SUM($D$32:F32),0,MIN(F34-F36-SUM($D$32:F32),F33-F35))</f>
        <v>#VALUE!</v>
      </c>
      <c r="G37" s="51" t="e">
        <f>IF(G34-G36&lt;=SUM($D$32:G32),0,MIN(G34-G36-SUM($D$32:G32),G33-G35))</f>
        <v>#VALUE!</v>
      </c>
      <c r="H37" s="51" t="e">
        <f>IF(H34-H36&lt;=SUM($D$32:H32),0,MIN(H34-H36-SUM($D$32:H32),H33-H35))</f>
        <v>#VALUE!</v>
      </c>
      <c r="I37" s="51" t="e">
        <f>IF(I34-I36&lt;=SUM($D$32:I32),0,MIN(I34-I36-SUM($D$32:I32),I33-I35))</f>
        <v>#VALUE!</v>
      </c>
      <c r="J37" s="51" t="e">
        <f>IF(J34-J36&lt;=SUM($D$32:J32),0,MIN(J34-J36-SUM($D$32:J32),J33-J35))</f>
        <v>#VALUE!</v>
      </c>
      <c r="K37" s="51" t="e">
        <f>IF(K34-K36&lt;=SUM($D$32:K32),0,MIN(K34-K36-SUM($D$32:K32),K33-K35))</f>
        <v>#VALUE!</v>
      </c>
      <c r="L37" s="51" t="e">
        <f>IF(L34-L36&lt;=SUM($D$32:L32),0,MIN(L34-L36-SUM($D$32:L32),L33-L35))</f>
        <v>#VALUE!</v>
      </c>
      <c r="M37" s="51" t="e">
        <f>IF(M34-M36&lt;=SUM($D$32:M32),0,MIN(M34-M36-SUM($D$32:M32),M33-M35))</f>
        <v>#VALUE!</v>
      </c>
      <c r="N37" s="51" t="e">
        <f>IF(N34-N36&lt;=SUM($D$32:N32),0,MIN(N34-N36-SUM($D$32:N32),N33-N35))</f>
        <v>#VALUE!</v>
      </c>
      <c r="O37" s="51" t="e">
        <f>IF(O34-O36&lt;=SUM($D$32:O32),0,MIN(O34-O36-SUM($D$32:O32),O33-O35))</f>
        <v>#VALUE!</v>
      </c>
      <c r="P37" s="51" t="e">
        <f>IF(P34-P36&lt;=SUM($D$32:P32),0,MIN(P34-P36-SUM($D$32:P32),P33-P35))</f>
        <v>#VALUE!</v>
      </c>
      <c r="Q37" s="51" t="e">
        <f>IF(Q34-Q36&lt;=SUM($D$32:Q32),0,MIN(Q34-Q36-SUM($D$32:Q32),Q33-Q35))</f>
        <v>#VALUE!</v>
      </c>
      <c r="R37" s="51" t="e">
        <f>IF(R34-R36&lt;=SUM($D$32:R32),0,MIN(R34-R36-SUM($D$32:R32),R33-R35))</f>
        <v>#VALUE!</v>
      </c>
      <c r="S37" s="51" t="e">
        <f>IF(S34-S36&lt;=SUM($D$32:S32),0,MIN(S34-S36-SUM($D$32:S32),S33-S35))</f>
        <v>#VALUE!</v>
      </c>
      <c r="T37" s="51" t="e">
        <f>IF(T34-T36&lt;=SUM($D$32:T32),0,MIN(T34-T36-SUM($D$32:T32),T33-T35))</f>
        <v>#VALUE!</v>
      </c>
      <c r="U37" s="51" t="e">
        <f>IF(U34-U36&lt;=SUM($D$32:U32),0,MIN(U34-U36-SUM($D$32:U32),U33-U35))</f>
        <v>#VALUE!</v>
      </c>
      <c r="V37" s="51" t="e">
        <f>IF(V34-V36&lt;=SUM($D$32:V32),0,MIN(V34-V36-SUM($D$32:V32),V33-V35))</f>
        <v>#VALUE!</v>
      </c>
      <c r="W37" s="51" t="e">
        <f>IF(W34-W36&lt;=SUM($D$32:W32),0,MIN(W34-W36-SUM($D$32:W32),W33-W35))</f>
        <v>#VALUE!</v>
      </c>
      <c r="X37" s="51" t="e">
        <f>IF(X34-X36&lt;=SUM($D$32:X32),0,MIN(X34-X36-SUM($D$32:X32),X33-X35))</f>
        <v>#VALUE!</v>
      </c>
      <c r="Y37" s="51" t="e">
        <f>IF(Y34-Y36&lt;=SUM($D$32:Y32),0,MIN(Y34-Y36-SUM($D$32:Y32),Y33-Y35))</f>
        <v>#VALUE!</v>
      </c>
      <c r="Z37" s="51" t="e">
        <f>IF(Z34-Z36&lt;=SUM($D$32:Z32),0,MIN(Z34-Z36-SUM($D$32:Z32),Z33-Z35))</f>
        <v>#VALUE!</v>
      </c>
      <c r="AA37" s="51" t="e">
        <f>IF(AA34-AA36&lt;=SUM($D$32:AA32),0,MIN(AA34-AA36-SUM($D$32:AA32),AA33-AA35))</f>
        <v>#VALUE!</v>
      </c>
      <c r="AB37" s="51" t="e">
        <f>IF(AB34-AB36&lt;=SUM($D$32:AB32),0,MIN(AB34-AB36-SUM($D$32:AB32),AB33-AB35))</f>
        <v>#VALUE!</v>
      </c>
      <c r="AC37" s="51" t="e">
        <f>IF(AC34-AC36&lt;=SUM($D$32:AC32),0,MIN(AC34-AC36-SUM($D$32:AC32),AC33-AC35))</f>
        <v>#VALUE!</v>
      </c>
    </row>
    <row r="38" ht="17.25" hidden="1" customHeight="1" spans="1:29">
      <c r="A38" s="105" t="s">
        <v>507</v>
      </c>
      <c r="B38" s="24" t="s">
        <v>538</v>
      </c>
      <c r="C38" s="12"/>
      <c r="D38" s="12"/>
      <c r="E38" s="12"/>
      <c r="F38" s="12"/>
      <c r="G38" s="12"/>
      <c r="H38" s="12"/>
      <c r="I38" s="12" t="e">
        <f t="shared" ref="I38:AC38" si="12">H39+H45</f>
        <v>#VALUE!</v>
      </c>
      <c r="J38" s="12" t="e">
        <f t="shared" si="12"/>
        <v>#VALUE!</v>
      </c>
      <c r="K38" s="12" t="e">
        <f t="shared" si="12"/>
        <v>#VALUE!</v>
      </c>
      <c r="L38" s="12" t="e">
        <f t="shared" si="12"/>
        <v>#VALUE!</v>
      </c>
      <c r="M38" s="12" t="e">
        <f t="shared" si="12"/>
        <v>#VALUE!</v>
      </c>
      <c r="N38" s="12" t="e">
        <f t="shared" si="12"/>
        <v>#VALUE!</v>
      </c>
      <c r="O38" s="12" t="e">
        <f t="shared" si="12"/>
        <v>#VALUE!</v>
      </c>
      <c r="P38" s="12" t="e">
        <f t="shared" si="12"/>
        <v>#VALUE!</v>
      </c>
      <c r="Q38" s="12" t="e">
        <f t="shared" si="12"/>
        <v>#VALUE!</v>
      </c>
      <c r="R38" s="12" t="e">
        <f t="shared" si="12"/>
        <v>#VALUE!</v>
      </c>
      <c r="S38" s="12" t="e">
        <f t="shared" si="12"/>
        <v>#VALUE!</v>
      </c>
      <c r="T38" s="12" t="e">
        <f t="shared" si="12"/>
        <v>#VALUE!</v>
      </c>
      <c r="U38" s="12" t="e">
        <f t="shared" si="12"/>
        <v>#VALUE!</v>
      </c>
      <c r="V38" s="12" t="e">
        <f t="shared" si="12"/>
        <v>#VALUE!</v>
      </c>
      <c r="W38" s="12" t="e">
        <f t="shared" si="12"/>
        <v>#VALUE!</v>
      </c>
      <c r="X38" s="12" t="e">
        <f t="shared" si="12"/>
        <v>#VALUE!</v>
      </c>
      <c r="Y38" s="12" t="e">
        <f t="shared" si="12"/>
        <v>#VALUE!</v>
      </c>
      <c r="Z38" s="12" t="e">
        <f t="shared" si="12"/>
        <v>#VALUE!</v>
      </c>
      <c r="AA38" s="12" t="e">
        <f t="shared" si="12"/>
        <v>#VALUE!</v>
      </c>
      <c r="AB38" s="12" t="e">
        <f t="shared" si="12"/>
        <v>#VALUE!</v>
      </c>
      <c r="AC38" s="12" t="e">
        <f t="shared" si="12"/>
        <v>#VALUE!</v>
      </c>
    </row>
    <row r="39" ht="17.25" hidden="1" customHeight="1" spans="1:29">
      <c r="A39" s="97"/>
      <c r="B39" s="24" t="s">
        <v>539</v>
      </c>
      <c r="C39" s="12"/>
      <c r="D39" s="12"/>
      <c r="E39" s="12"/>
      <c r="F39" s="12"/>
      <c r="G39" s="12"/>
      <c r="H39" s="12" t="e">
        <f>G40+G46</f>
        <v>#VALUE!</v>
      </c>
      <c r="I39" s="12" t="e">
        <f t="shared" ref="I39:AC39" si="13">H40+H46</f>
        <v>#VALUE!</v>
      </c>
      <c r="J39" s="12" t="e">
        <f t="shared" si="13"/>
        <v>#VALUE!</v>
      </c>
      <c r="K39" s="12" t="e">
        <f t="shared" si="13"/>
        <v>#VALUE!</v>
      </c>
      <c r="L39" s="12" t="e">
        <f t="shared" si="13"/>
        <v>#VALUE!</v>
      </c>
      <c r="M39" s="12" t="e">
        <f t="shared" si="13"/>
        <v>#VALUE!</v>
      </c>
      <c r="N39" s="12" t="e">
        <f t="shared" si="13"/>
        <v>#VALUE!</v>
      </c>
      <c r="O39" s="12" t="e">
        <f t="shared" si="13"/>
        <v>#VALUE!</v>
      </c>
      <c r="P39" s="12" t="e">
        <f t="shared" si="13"/>
        <v>#VALUE!</v>
      </c>
      <c r="Q39" s="12" t="e">
        <f t="shared" si="13"/>
        <v>#VALUE!</v>
      </c>
      <c r="R39" s="12" t="e">
        <f t="shared" si="13"/>
        <v>#VALUE!</v>
      </c>
      <c r="S39" s="12" t="e">
        <f t="shared" si="13"/>
        <v>#VALUE!</v>
      </c>
      <c r="T39" s="12" t="e">
        <f t="shared" si="13"/>
        <v>#VALUE!</v>
      </c>
      <c r="U39" s="12" t="e">
        <f t="shared" si="13"/>
        <v>#VALUE!</v>
      </c>
      <c r="V39" s="12" t="e">
        <f t="shared" si="13"/>
        <v>#VALUE!</v>
      </c>
      <c r="W39" s="12" t="e">
        <f t="shared" si="13"/>
        <v>#VALUE!</v>
      </c>
      <c r="X39" s="12" t="e">
        <f t="shared" si="13"/>
        <v>#VALUE!</v>
      </c>
      <c r="Y39" s="12" t="e">
        <f t="shared" si="13"/>
        <v>#VALUE!</v>
      </c>
      <c r="Z39" s="12" t="e">
        <f t="shared" si="13"/>
        <v>#VALUE!</v>
      </c>
      <c r="AA39" s="12" t="e">
        <f t="shared" si="13"/>
        <v>#VALUE!</v>
      </c>
      <c r="AB39" s="12" t="e">
        <f t="shared" si="13"/>
        <v>#VALUE!</v>
      </c>
      <c r="AC39" s="12" t="e">
        <f t="shared" si="13"/>
        <v>#VALUE!</v>
      </c>
    </row>
    <row r="40" ht="17.25" hidden="1" customHeight="1" spans="1:29">
      <c r="A40" s="97"/>
      <c r="B40" s="24" t="s">
        <v>540</v>
      </c>
      <c r="C40" s="12"/>
      <c r="D40" s="12"/>
      <c r="E40" s="12"/>
      <c r="F40" s="12"/>
      <c r="G40" s="12" t="e">
        <f>F41+F47</f>
        <v>#VALUE!</v>
      </c>
      <c r="H40" s="12" t="e">
        <f>G41+G47</f>
        <v>#VALUE!</v>
      </c>
      <c r="I40" s="12" t="e">
        <f t="shared" ref="I40:AC40" si="14">H41+H47</f>
        <v>#VALUE!</v>
      </c>
      <c r="J40" s="12" t="e">
        <f t="shared" si="14"/>
        <v>#VALUE!</v>
      </c>
      <c r="K40" s="12" t="e">
        <f t="shared" si="14"/>
        <v>#VALUE!</v>
      </c>
      <c r="L40" s="12" t="e">
        <f t="shared" si="14"/>
        <v>#VALUE!</v>
      </c>
      <c r="M40" s="12" t="e">
        <f t="shared" si="14"/>
        <v>#VALUE!</v>
      </c>
      <c r="N40" s="12" t="e">
        <f t="shared" si="14"/>
        <v>#VALUE!</v>
      </c>
      <c r="O40" s="12" t="e">
        <f t="shared" si="14"/>
        <v>#VALUE!</v>
      </c>
      <c r="P40" s="12" t="e">
        <f t="shared" si="14"/>
        <v>#VALUE!</v>
      </c>
      <c r="Q40" s="12" t="e">
        <f t="shared" si="14"/>
        <v>#VALUE!</v>
      </c>
      <c r="R40" s="12" t="e">
        <f t="shared" si="14"/>
        <v>#VALUE!</v>
      </c>
      <c r="S40" s="12" t="e">
        <f t="shared" si="14"/>
        <v>#VALUE!</v>
      </c>
      <c r="T40" s="12" t="e">
        <f t="shared" si="14"/>
        <v>#VALUE!</v>
      </c>
      <c r="U40" s="12" t="e">
        <f t="shared" si="14"/>
        <v>#VALUE!</v>
      </c>
      <c r="V40" s="12" t="e">
        <f t="shared" si="14"/>
        <v>#VALUE!</v>
      </c>
      <c r="W40" s="12" t="e">
        <f t="shared" si="14"/>
        <v>#VALUE!</v>
      </c>
      <c r="X40" s="12" t="e">
        <f t="shared" si="14"/>
        <v>#VALUE!</v>
      </c>
      <c r="Y40" s="12" t="e">
        <f t="shared" si="14"/>
        <v>#VALUE!</v>
      </c>
      <c r="Z40" s="12" t="e">
        <f t="shared" si="14"/>
        <v>#VALUE!</v>
      </c>
      <c r="AA40" s="12" t="e">
        <f t="shared" si="14"/>
        <v>#VALUE!</v>
      </c>
      <c r="AB40" s="12" t="e">
        <f t="shared" si="14"/>
        <v>#VALUE!</v>
      </c>
      <c r="AC40" s="12" t="e">
        <f t="shared" si="14"/>
        <v>#VALUE!</v>
      </c>
    </row>
    <row r="41" ht="17.25" hidden="1" customHeight="1" spans="1:29">
      <c r="A41" s="97"/>
      <c r="B41" s="24" t="s">
        <v>541</v>
      </c>
      <c r="C41" s="12"/>
      <c r="D41" s="12"/>
      <c r="E41" s="12"/>
      <c r="F41" s="12" t="e">
        <f>E42+E48</f>
        <v>#VALUE!</v>
      </c>
      <c r="G41" s="12" t="e">
        <f>F42+F48</f>
        <v>#VALUE!</v>
      </c>
      <c r="H41" s="12" t="e">
        <f>G42+G48</f>
        <v>#VALUE!</v>
      </c>
      <c r="I41" s="12" t="e">
        <f t="shared" ref="I41:AC41" si="15">H42+H48</f>
        <v>#VALUE!</v>
      </c>
      <c r="J41" s="12" t="e">
        <f t="shared" si="15"/>
        <v>#VALUE!</v>
      </c>
      <c r="K41" s="12" t="e">
        <f t="shared" si="15"/>
        <v>#VALUE!</v>
      </c>
      <c r="L41" s="12" t="e">
        <f t="shared" si="15"/>
        <v>#VALUE!</v>
      </c>
      <c r="M41" s="12" t="e">
        <f t="shared" si="15"/>
        <v>#VALUE!</v>
      </c>
      <c r="N41" s="12" t="e">
        <f t="shared" si="15"/>
        <v>#VALUE!</v>
      </c>
      <c r="O41" s="12" t="e">
        <f t="shared" si="15"/>
        <v>#VALUE!</v>
      </c>
      <c r="P41" s="12" t="e">
        <f t="shared" si="15"/>
        <v>#VALUE!</v>
      </c>
      <c r="Q41" s="12" t="e">
        <f t="shared" si="15"/>
        <v>#VALUE!</v>
      </c>
      <c r="R41" s="12" t="e">
        <f t="shared" si="15"/>
        <v>#VALUE!</v>
      </c>
      <c r="S41" s="12" t="e">
        <f t="shared" si="15"/>
        <v>#VALUE!</v>
      </c>
      <c r="T41" s="12" t="e">
        <f t="shared" si="15"/>
        <v>#VALUE!</v>
      </c>
      <c r="U41" s="12" t="e">
        <f t="shared" si="15"/>
        <v>#VALUE!</v>
      </c>
      <c r="V41" s="12" t="e">
        <f t="shared" si="15"/>
        <v>#VALUE!</v>
      </c>
      <c r="W41" s="12" t="e">
        <f t="shared" si="15"/>
        <v>#VALUE!</v>
      </c>
      <c r="X41" s="12" t="e">
        <f t="shared" si="15"/>
        <v>#VALUE!</v>
      </c>
      <c r="Y41" s="12" t="e">
        <f t="shared" si="15"/>
        <v>#VALUE!</v>
      </c>
      <c r="Z41" s="12" t="e">
        <f t="shared" si="15"/>
        <v>#VALUE!</v>
      </c>
      <c r="AA41" s="12" t="e">
        <f t="shared" si="15"/>
        <v>#VALUE!</v>
      </c>
      <c r="AB41" s="12" t="e">
        <f t="shared" si="15"/>
        <v>#VALUE!</v>
      </c>
      <c r="AC41" s="12" t="e">
        <f t="shared" si="15"/>
        <v>#VALUE!</v>
      </c>
    </row>
    <row r="42" ht="17.25" hidden="1" customHeight="1" spans="1:29">
      <c r="A42" s="97"/>
      <c r="B42" s="24" t="s">
        <v>542</v>
      </c>
      <c r="C42" s="12"/>
      <c r="D42" s="12"/>
      <c r="E42" s="106">
        <f t="shared" ref="E42:AC42" si="16">MIN(0,D17)</f>
        <v>0</v>
      </c>
      <c r="F42" s="12" t="e">
        <f t="shared" si="16"/>
        <v>#VALUE!</v>
      </c>
      <c r="G42" s="12" t="e">
        <f t="shared" si="16"/>
        <v>#VALUE!</v>
      </c>
      <c r="H42" s="12" t="e">
        <f t="shared" si="16"/>
        <v>#VALUE!</v>
      </c>
      <c r="I42" s="12" t="e">
        <f t="shared" si="16"/>
        <v>#VALUE!</v>
      </c>
      <c r="J42" s="12" t="e">
        <f t="shared" si="16"/>
        <v>#VALUE!</v>
      </c>
      <c r="K42" s="12" t="e">
        <f t="shared" si="16"/>
        <v>#VALUE!</v>
      </c>
      <c r="L42" s="12" t="e">
        <f t="shared" si="16"/>
        <v>#VALUE!</v>
      </c>
      <c r="M42" s="12" t="e">
        <f t="shared" si="16"/>
        <v>#VALUE!</v>
      </c>
      <c r="N42" s="12" t="e">
        <f t="shared" si="16"/>
        <v>#VALUE!</v>
      </c>
      <c r="O42" s="12" t="e">
        <f t="shared" si="16"/>
        <v>#VALUE!</v>
      </c>
      <c r="P42" s="12" t="e">
        <f t="shared" si="16"/>
        <v>#VALUE!</v>
      </c>
      <c r="Q42" s="12" t="e">
        <f t="shared" si="16"/>
        <v>#VALUE!</v>
      </c>
      <c r="R42" s="12" t="e">
        <f t="shared" si="16"/>
        <v>#VALUE!</v>
      </c>
      <c r="S42" s="12" t="e">
        <f t="shared" si="16"/>
        <v>#VALUE!</v>
      </c>
      <c r="T42" s="12" t="e">
        <f t="shared" si="16"/>
        <v>#VALUE!</v>
      </c>
      <c r="U42" s="12" t="e">
        <f t="shared" si="16"/>
        <v>#VALUE!</v>
      </c>
      <c r="V42" s="12" t="e">
        <f t="shared" si="16"/>
        <v>#VALUE!</v>
      </c>
      <c r="W42" s="12" t="e">
        <f t="shared" si="16"/>
        <v>#VALUE!</v>
      </c>
      <c r="X42" s="12" t="e">
        <f t="shared" si="16"/>
        <v>#VALUE!</v>
      </c>
      <c r="Y42" s="12" t="e">
        <f t="shared" si="16"/>
        <v>#VALUE!</v>
      </c>
      <c r="Z42" s="12" t="e">
        <f t="shared" si="16"/>
        <v>#VALUE!</v>
      </c>
      <c r="AA42" s="12" t="e">
        <f t="shared" si="16"/>
        <v>#VALUE!</v>
      </c>
      <c r="AB42" s="12" t="e">
        <f t="shared" si="16"/>
        <v>#VALUE!</v>
      </c>
      <c r="AC42" s="12" t="e">
        <f t="shared" si="16"/>
        <v>#VALUE!</v>
      </c>
    </row>
    <row r="43" ht="17.25" hidden="1" customHeight="1" spans="1:29">
      <c r="A43" s="97"/>
      <c r="B43" s="24" t="s">
        <v>518</v>
      </c>
      <c r="C43" s="12"/>
      <c r="D43" s="106">
        <f t="shared" ref="D43:AC43" si="17">IF(D17&lt;0,0,MIN(D17,-SUM(D38:D42)))</f>
        <v>0</v>
      </c>
      <c r="E43" s="12" t="e">
        <f t="shared" si="17"/>
        <v>#VALUE!</v>
      </c>
      <c r="F43" s="12" t="e">
        <f t="shared" si="17"/>
        <v>#VALUE!</v>
      </c>
      <c r="G43" s="12" t="e">
        <f t="shared" si="17"/>
        <v>#VALUE!</v>
      </c>
      <c r="H43" s="12" t="e">
        <f t="shared" si="17"/>
        <v>#VALUE!</v>
      </c>
      <c r="I43" s="12" t="e">
        <f t="shared" si="17"/>
        <v>#VALUE!</v>
      </c>
      <c r="J43" s="12" t="e">
        <f t="shared" si="17"/>
        <v>#VALUE!</v>
      </c>
      <c r="K43" s="12" t="e">
        <f t="shared" si="17"/>
        <v>#VALUE!</v>
      </c>
      <c r="L43" s="12" t="e">
        <f t="shared" si="17"/>
        <v>#VALUE!</v>
      </c>
      <c r="M43" s="12" t="e">
        <f t="shared" si="17"/>
        <v>#VALUE!</v>
      </c>
      <c r="N43" s="12" t="e">
        <f t="shared" si="17"/>
        <v>#VALUE!</v>
      </c>
      <c r="O43" s="12" t="e">
        <f t="shared" si="17"/>
        <v>#VALUE!</v>
      </c>
      <c r="P43" s="12" t="e">
        <f t="shared" si="17"/>
        <v>#VALUE!</v>
      </c>
      <c r="Q43" s="12" t="e">
        <f t="shared" si="17"/>
        <v>#VALUE!</v>
      </c>
      <c r="R43" s="12" t="e">
        <f t="shared" si="17"/>
        <v>#VALUE!</v>
      </c>
      <c r="S43" s="12" t="e">
        <f t="shared" si="17"/>
        <v>#VALUE!</v>
      </c>
      <c r="T43" s="12" t="e">
        <f t="shared" si="17"/>
        <v>#VALUE!</v>
      </c>
      <c r="U43" s="12" t="e">
        <f t="shared" si="17"/>
        <v>#VALUE!</v>
      </c>
      <c r="V43" s="12" t="e">
        <f t="shared" si="17"/>
        <v>#VALUE!</v>
      </c>
      <c r="W43" s="12" t="e">
        <f t="shared" si="17"/>
        <v>#VALUE!</v>
      </c>
      <c r="X43" s="12" t="e">
        <f t="shared" si="17"/>
        <v>#VALUE!</v>
      </c>
      <c r="Y43" s="12" t="e">
        <f t="shared" si="17"/>
        <v>#VALUE!</v>
      </c>
      <c r="Z43" s="12" t="e">
        <f t="shared" si="17"/>
        <v>#VALUE!</v>
      </c>
      <c r="AA43" s="12" t="e">
        <f t="shared" si="17"/>
        <v>#VALUE!</v>
      </c>
      <c r="AB43" s="12" t="e">
        <f t="shared" si="17"/>
        <v>#VALUE!</v>
      </c>
      <c r="AC43" s="12" t="e">
        <f t="shared" si="17"/>
        <v>#VALUE!</v>
      </c>
    </row>
    <row r="44" ht="17.25" hidden="1" customHeight="1" spans="1:29">
      <c r="A44" s="97"/>
      <c r="B44" s="24" t="s">
        <v>543</v>
      </c>
      <c r="C44" s="12"/>
      <c r="D44" s="106">
        <f t="shared" ref="D44:AC44" si="18">IF(D43&gt;0,MIN(-D38,D43),0)</f>
        <v>0</v>
      </c>
      <c r="E44" s="12" t="e">
        <f t="shared" si="18"/>
        <v>#VALUE!</v>
      </c>
      <c r="F44" s="12" t="e">
        <f t="shared" si="18"/>
        <v>#VALUE!</v>
      </c>
      <c r="G44" s="12" t="e">
        <f t="shared" si="18"/>
        <v>#VALUE!</v>
      </c>
      <c r="H44" s="12" t="e">
        <f t="shared" si="18"/>
        <v>#VALUE!</v>
      </c>
      <c r="I44" s="12" t="e">
        <f t="shared" si="18"/>
        <v>#VALUE!</v>
      </c>
      <c r="J44" s="12" t="e">
        <f t="shared" si="18"/>
        <v>#VALUE!</v>
      </c>
      <c r="K44" s="12" t="e">
        <f t="shared" si="18"/>
        <v>#VALUE!</v>
      </c>
      <c r="L44" s="12" t="e">
        <f t="shared" si="18"/>
        <v>#VALUE!</v>
      </c>
      <c r="M44" s="12" t="e">
        <f t="shared" si="18"/>
        <v>#VALUE!</v>
      </c>
      <c r="N44" s="12" t="e">
        <f t="shared" si="18"/>
        <v>#VALUE!</v>
      </c>
      <c r="O44" s="12" t="e">
        <f t="shared" si="18"/>
        <v>#VALUE!</v>
      </c>
      <c r="P44" s="12" t="e">
        <f t="shared" si="18"/>
        <v>#VALUE!</v>
      </c>
      <c r="Q44" s="12" t="e">
        <f t="shared" si="18"/>
        <v>#VALUE!</v>
      </c>
      <c r="R44" s="12" t="e">
        <f t="shared" si="18"/>
        <v>#VALUE!</v>
      </c>
      <c r="S44" s="12" t="e">
        <f t="shared" si="18"/>
        <v>#VALUE!</v>
      </c>
      <c r="T44" s="12" t="e">
        <f t="shared" si="18"/>
        <v>#VALUE!</v>
      </c>
      <c r="U44" s="12" t="e">
        <f t="shared" si="18"/>
        <v>#VALUE!</v>
      </c>
      <c r="V44" s="12" t="e">
        <f t="shared" si="18"/>
        <v>#VALUE!</v>
      </c>
      <c r="W44" s="12" t="e">
        <f t="shared" si="18"/>
        <v>#VALUE!</v>
      </c>
      <c r="X44" s="12" t="e">
        <f t="shared" si="18"/>
        <v>#VALUE!</v>
      </c>
      <c r="Y44" s="12" t="e">
        <f t="shared" si="18"/>
        <v>#VALUE!</v>
      </c>
      <c r="Z44" s="12" t="e">
        <f t="shared" si="18"/>
        <v>#VALUE!</v>
      </c>
      <c r="AA44" s="12" t="e">
        <f t="shared" si="18"/>
        <v>#VALUE!</v>
      </c>
      <c r="AB44" s="12" t="e">
        <f t="shared" si="18"/>
        <v>#VALUE!</v>
      </c>
      <c r="AC44" s="12" t="e">
        <f t="shared" si="18"/>
        <v>#VALUE!</v>
      </c>
    </row>
    <row r="45" ht="17.25" hidden="1" customHeight="1" spans="1:29">
      <c r="A45" s="97"/>
      <c r="B45" s="24" t="s">
        <v>544</v>
      </c>
      <c r="C45" s="12"/>
      <c r="D45" s="106">
        <f t="shared" ref="D45:AC45" si="19">IF(D43-D44&gt;0,MIN(D43-D44,-D39),0)</f>
        <v>0</v>
      </c>
      <c r="E45" s="12" t="e">
        <f t="shared" si="19"/>
        <v>#VALUE!</v>
      </c>
      <c r="F45" s="12" t="e">
        <f t="shared" si="19"/>
        <v>#VALUE!</v>
      </c>
      <c r="G45" s="12" t="e">
        <f t="shared" si="19"/>
        <v>#VALUE!</v>
      </c>
      <c r="H45" s="12" t="e">
        <f t="shared" si="19"/>
        <v>#VALUE!</v>
      </c>
      <c r="I45" s="12" t="e">
        <f t="shared" si="19"/>
        <v>#VALUE!</v>
      </c>
      <c r="J45" s="12" t="e">
        <f t="shared" si="19"/>
        <v>#VALUE!</v>
      </c>
      <c r="K45" s="12" t="e">
        <f t="shared" si="19"/>
        <v>#VALUE!</v>
      </c>
      <c r="L45" s="12" t="e">
        <f t="shared" si="19"/>
        <v>#VALUE!</v>
      </c>
      <c r="M45" s="12" t="e">
        <f t="shared" si="19"/>
        <v>#VALUE!</v>
      </c>
      <c r="N45" s="12" t="e">
        <f t="shared" si="19"/>
        <v>#VALUE!</v>
      </c>
      <c r="O45" s="12" t="e">
        <f t="shared" si="19"/>
        <v>#VALUE!</v>
      </c>
      <c r="P45" s="12" t="e">
        <f t="shared" si="19"/>
        <v>#VALUE!</v>
      </c>
      <c r="Q45" s="12" t="e">
        <f t="shared" si="19"/>
        <v>#VALUE!</v>
      </c>
      <c r="R45" s="12" t="e">
        <f t="shared" si="19"/>
        <v>#VALUE!</v>
      </c>
      <c r="S45" s="12" t="e">
        <f t="shared" si="19"/>
        <v>#VALUE!</v>
      </c>
      <c r="T45" s="12" t="e">
        <f t="shared" si="19"/>
        <v>#VALUE!</v>
      </c>
      <c r="U45" s="12" t="e">
        <f t="shared" si="19"/>
        <v>#VALUE!</v>
      </c>
      <c r="V45" s="12" t="e">
        <f t="shared" si="19"/>
        <v>#VALUE!</v>
      </c>
      <c r="W45" s="12" t="e">
        <f t="shared" si="19"/>
        <v>#VALUE!</v>
      </c>
      <c r="X45" s="12" t="e">
        <f t="shared" si="19"/>
        <v>#VALUE!</v>
      </c>
      <c r="Y45" s="12" t="e">
        <f t="shared" si="19"/>
        <v>#VALUE!</v>
      </c>
      <c r="Z45" s="12" t="e">
        <f t="shared" si="19"/>
        <v>#VALUE!</v>
      </c>
      <c r="AA45" s="12" t="e">
        <f t="shared" si="19"/>
        <v>#VALUE!</v>
      </c>
      <c r="AB45" s="12" t="e">
        <f t="shared" si="19"/>
        <v>#VALUE!</v>
      </c>
      <c r="AC45" s="12" t="e">
        <f t="shared" si="19"/>
        <v>#VALUE!</v>
      </c>
    </row>
    <row r="46" ht="17.25" hidden="1" customHeight="1" spans="1:29">
      <c r="A46" s="97"/>
      <c r="B46" s="24" t="s">
        <v>545</v>
      </c>
      <c r="C46" s="12"/>
      <c r="D46" s="106">
        <f t="shared" ref="D46:AC46" si="20">IF(D43-D44-D45&gt;0,MIN(D43-D44-D45,-D40),0)</f>
        <v>0</v>
      </c>
      <c r="E46" s="12" t="e">
        <f t="shared" si="20"/>
        <v>#VALUE!</v>
      </c>
      <c r="F46" s="12" t="e">
        <f t="shared" si="20"/>
        <v>#VALUE!</v>
      </c>
      <c r="G46" s="12" t="e">
        <f t="shared" si="20"/>
        <v>#VALUE!</v>
      </c>
      <c r="H46" s="12" t="e">
        <f t="shared" si="20"/>
        <v>#VALUE!</v>
      </c>
      <c r="I46" s="12" t="e">
        <f t="shared" si="20"/>
        <v>#VALUE!</v>
      </c>
      <c r="J46" s="12" t="e">
        <f t="shared" si="20"/>
        <v>#VALUE!</v>
      </c>
      <c r="K46" s="12" t="e">
        <f t="shared" si="20"/>
        <v>#VALUE!</v>
      </c>
      <c r="L46" s="12" t="e">
        <f t="shared" si="20"/>
        <v>#VALUE!</v>
      </c>
      <c r="M46" s="12" t="e">
        <f t="shared" si="20"/>
        <v>#VALUE!</v>
      </c>
      <c r="N46" s="12" t="e">
        <f t="shared" si="20"/>
        <v>#VALUE!</v>
      </c>
      <c r="O46" s="12" t="e">
        <f t="shared" si="20"/>
        <v>#VALUE!</v>
      </c>
      <c r="P46" s="12" t="e">
        <f t="shared" si="20"/>
        <v>#VALUE!</v>
      </c>
      <c r="Q46" s="12" t="e">
        <f t="shared" si="20"/>
        <v>#VALUE!</v>
      </c>
      <c r="R46" s="12" t="e">
        <f t="shared" si="20"/>
        <v>#VALUE!</v>
      </c>
      <c r="S46" s="12" t="e">
        <f t="shared" si="20"/>
        <v>#VALUE!</v>
      </c>
      <c r="T46" s="12" t="e">
        <f t="shared" si="20"/>
        <v>#VALUE!</v>
      </c>
      <c r="U46" s="12" t="e">
        <f t="shared" si="20"/>
        <v>#VALUE!</v>
      </c>
      <c r="V46" s="12" t="e">
        <f t="shared" si="20"/>
        <v>#VALUE!</v>
      </c>
      <c r="W46" s="12" t="e">
        <f t="shared" si="20"/>
        <v>#VALUE!</v>
      </c>
      <c r="X46" s="12" t="e">
        <f t="shared" si="20"/>
        <v>#VALUE!</v>
      </c>
      <c r="Y46" s="12" t="e">
        <f t="shared" si="20"/>
        <v>#VALUE!</v>
      </c>
      <c r="Z46" s="12" t="e">
        <f t="shared" si="20"/>
        <v>#VALUE!</v>
      </c>
      <c r="AA46" s="12" t="e">
        <f t="shared" si="20"/>
        <v>#VALUE!</v>
      </c>
      <c r="AB46" s="12" t="e">
        <f t="shared" si="20"/>
        <v>#VALUE!</v>
      </c>
      <c r="AC46" s="12" t="e">
        <f t="shared" si="20"/>
        <v>#VALUE!</v>
      </c>
    </row>
    <row r="47" ht="17.25" hidden="1" customHeight="1" spans="1:29">
      <c r="A47" s="97"/>
      <c r="B47" s="24" t="s">
        <v>546</v>
      </c>
      <c r="C47" s="12"/>
      <c r="D47" s="106">
        <f t="shared" ref="D47:AC47" si="21">IF(D43-D44-D45-D46&gt;0,MIN(D43-D44-D45-D46,-D41),0)</f>
        <v>0</v>
      </c>
      <c r="E47" s="12" t="e">
        <f t="shared" si="21"/>
        <v>#VALUE!</v>
      </c>
      <c r="F47" s="12" t="e">
        <f t="shared" si="21"/>
        <v>#VALUE!</v>
      </c>
      <c r="G47" s="12" t="e">
        <f t="shared" si="21"/>
        <v>#VALUE!</v>
      </c>
      <c r="H47" s="12" t="e">
        <f t="shared" si="21"/>
        <v>#VALUE!</v>
      </c>
      <c r="I47" s="12" t="e">
        <f t="shared" si="21"/>
        <v>#VALUE!</v>
      </c>
      <c r="J47" s="12" t="e">
        <f t="shared" si="21"/>
        <v>#VALUE!</v>
      </c>
      <c r="K47" s="12" t="e">
        <f t="shared" si="21"/>
        <v>#VALUE!</v>
      </c>
      <c r="L47" s="12" t="e">
        <f t="shared" si="21"/>
        <v>#VALUE!</v>
      </c>
      <c r="M47" s="12" t="e">
        <f t="shared" si="21"/>
        <v>#VALUE!</v>
      </c>
      <c r="N47" s="12" t="e">
        <f t="shared" si="21"/>
        <v>#VALUE!</v>
      </c>
      <c r="O47" s="12" t="e">
        <f t="shared" si="21"/>
        <v>#VALUE!</v>
      </c>
      <c r="P47" s="12" t="e">
        <f t="shared" si="21"/>
        <v>#VALUE!</v>
      </c>
      <c r="Q47" s="12" t="e">
        <f t="shared" si="21"/>
        <v>#VALUE!</v>
      </c>
      <c r="R47" s="12" t="e">
        <f t="shared" si="21"/>
        <v>#VALUE!</v>
      </c>
      <c r="S47" s="12" t="e">
        <f t="shared" si="21"/>
        <v>#VALUE!</v>
      </c>
      <c r="T47" s="12" t="e">
        <f t="shared" si="21"/>
        <v>#VALUE!</v>
      </c>
      <c r="U47" s="12" t="e">
        <f t="shared" si="21"/>
        <v>#VALUE!</v>
      </c>
      <c r="V47" s="12" t="e">
        <f t="shared" si="21"/>
        <v>#VALUE!</v>
      </c>
      <c r="W47" s="12" t="e">
        <f t="shared" si="21"/>
        <v>#VALUE!</v>
      </c>
      <c r="X47" s="12" t="e">
        <f t="shared" si="21"/>
        <v>#VALUE!</v>
      </c>
      <c r="Y47" s="12" t="e">
        <f t="shared" si="21"/>
        <v>#VALUE!</v>
      </c>
      <c r="Z47" s="12" t="e">
        <f t="shared" si="21"/>
        <v>#VALUE!</v>
      </c>
      <c r="AA47" s="12" t="e">
        <f t="shared" si="21"/>
        <v>#VALUE!</v>
      </c>
      <c r="AB47" s="12" t="e">
        <f t="shared" si="21"/>
        <v>#VALUE!</v>
      </c>
      <c r="AC47" s="12" t="e">
        <f t="shared" si="21"/>
        <v>#VALUE!</v>
      </c>
    </row>
    <row r="48" ht="17.25" hidden="1" customHeight="1" spans="1:29">
      <c r="A48" s="97"/>
      <c r="B48" s="24" t="s">
        <v>547</v>
      </c>
      <c r="C48" s="12"/>
      <c r="D48" s="106">
        <f t="shared" ref="D48:AC48" si="22">IF(D43-D44-D45-D46-D47&gt;0,MIN(D43-D44-D45-D46-D47,-D42),0)</f>
        <v>0</v>
      </c>
      <c r="E48" s="12" t="e">
        <f t="shared" si="22"/>
        <v>#VALUE!</v>
      </c>
      <c r="F48" s="12" t="e">
        <f t="shared" si="22"/>
        <v>#VALUE!</v>
      </c>
      <c r="G48" s="12" t="e">
        <f t="shared" si="22"/>
        <v>#VALUE!</v>
      </c>
      <c r="H48" s="12" t="e">
        <f t="shared" si="22"/>
        <v>#VALUE!</v>
      </c>
      <c r="I48" s="12" t="e">
        <f t="shared" si="22"/>
        <v>#VALUE!</v>
      </c>
      <c r="J48" s="12" t="e">
        <f t="shared" si="22"/>
        <v>#VALUE!</v>
      </c>
      <c r="K48" s="12" t="e">
        <f t="shared" si="22"/>
        <v>#VALUE!</v>
      </c>
      <c r="L48" s="12" t="e">
        <f t="shared" si="22"/>
        <v>#VALUE!</v>
      </c>
      <c r="M48" s="12" t="e">
        <f t="shared" si="22"/>
        <v>#VALUE!</v>
      </c>
      <c r="N48" s="12" t="e">
        <f t="shared" si="22"/>
        <v>#VALUE!</v>
      </c>
      <c r="O48" s="12" t="e">
        <f t="shared" si="22"/>
        <v>#VALUE!</v>
      </c>
      <c r="P48" s="12" t="e">
        <f t="shared" si="22"/>
        <v>#VALUE!</v>
      </c>
      <c r="Q48" s="12" t="e">
        <f t="shared" si="22"/>
        <v>#VALUE!</v>
      </c>
      <c r="R48" s="12" t="e">
        <f t="shared" si="22"/>
        <v>#VALUE!</v>
      </c>
      <c r="S48" s="12" t="e">
        <f t="shared" si="22"/>
        <v>#VALUE!</v>
      </c>
      <c r="T48" s="12" t="e">
        <f t="shared" si="22"/>
        <v>#VALUE!</v>
      </c>
      <c r="U48" s="12" t="e">
        <f t="shared" si="22"/>
        <v>#VALUE!</v>
      </c>
      <c r="V48" s="12" t="e">
        <f t="shared" si="22"/>
        <v>#VALUE!</v>
      </c>
      <c r="W48" s="12" t="e">
        <f t="shared" si="22"/>
        <v>#VALUE!</v>
      </c>
      <c r="X48" s="12" t="e">
        <f t="shared" si="22"/>
        <v>#VALUE!</v>
      </c>
      <c r="Y48" s="12" t="e">
        <f t="shared" si="22"/>
        <v>#VALUE!</v>
      </c>
      <c r="Z48" s="12" t="e">
        <f t="shared" si="22"/>
        <v>#VALUE!</v>
      </c>
      <c r="AA48" s="12" t="e">
        <f t="shared" si="22"/>
        <v>#VALUE!</v>
      </c>
      <c r="AB48" s="12" t="e">
        <f t="shared" si="22"/>
        <v>#VALUE!</v>
      </c>
      <c r="AC48" s="12" t="e">
        <f t="shared" si="22"/>
        <v>#VALUE!</v>
      </c>
    </row>
  </sheetData>
  <mergeCells count="8">
    <mergeCell ref="A1:AC1"/>
    <mergeCell ref="A2:AC2"/>
    <mergeCell ref="E3:AC3"/>
    <mergeCell ref="A3:A4"/>
    <mergeCell ref="A32:A37"/>
    <mergeCell ref="A38:A48"/>
    <mergeCell ref="B3:B4"/>
    <mergeCell ref="C3:C4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40"/>
  <sheetViews>
    <sheetView workbookViewId="0">
      <pane xSplit="3" topLeftCell="D1" activePane="topRight" state="frozen"/>
      <selection/>
      <selection pane="topRight" activeCell="A1" sqref="A1:AC1"/>
    </sheetView>
  </sheetViews>
  <sheetFormatPr defaultColWidth="8.83333333333333" defaultRowHeight="13.5"/>
  <cols>
    <col min="1" max="1" width="8.83333333333333" style="13" customWidth="1"/>
    <col min="2" max="2" width="24.8333333333333" style="14" customWidth="1"/>
    <col min="3" max="29" width="12.8333333333333" style="34" customWidth="1"/>
  </cols>
  <sheetData>
    <row r="1" ht="24" customHeight="1" spans="1:29">
      <c r="A1" s="89" t="s">
        <v>548</v>
      </c>
      <c r="B1" s="90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</row>
    <row r="2" ht="15" customHeight="1" spans="1:29">
      <c r="A2" s="70" t="s">
        <v>464</v>
      </c>
      <c r="B2" s="26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ht="15" customHeight="1" spans="1:29">
      <c r="A3" s="92" t="s">
        <v>1</v>
      </c>
      <c r="B3" s="93" t="s">
        <v>2</v>
      </c>
      <c r="C3" s="94" t="s">
        <v>465</v>
      </c>
      <c r="D3" s="42" t="s">
        <v>481</v>
      </c>
      <c r="E3" s="42" t="s">
        <v>482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ht="15" customHeight="1" spans="1:29">
      <c r="A4" s="95"/>
      <c r="B4" s="96"/>
      <c r="C4" s="46"/>
      <c r="D4" s="46" t="s">
        <v>278</v>
      </c>
      <c r="E4" s="47" t="s">
        <v>279</v>
      </c>
      <c r="F4" s="47" t="s">
        <v>280</v>
      </c>
      <c r="G4" s="47" t="s">
        <v>281</v>
      </c>
      <c r="H4" s="47" t="s">
        <v>282</v>
      </c>
      <c r="I4" s="47" t="s">
        <v>327</v>
      </c>
      <c r="J4" s="47" t="s">
        <v>328</v>
      </c>
      <c r="K4" s="47" t="s">
        <v>329</v>
      </c>
      <c r="L4" s="47" t="s">
        <v>330</v>
      </c>
      <c r="M4" s="47" t="s">
        <v>331</v>
      </c>
      <c r="N4" s="47" t="s">
        <v>332</v>
      </c>
      <c r="O4" s="47" t="s">
        <v>333</v>
      </c>
      <c r="P4" s="47" t="s">
        <v>334</v>
      </c>
      <c r="Q4" s="47" t="s">
        <v>335</v>
      </c>
      <c r="R4" s="47" t="s">
        <v>336</v>
      </c>
      <c r="S4" s="47" t="s">
        <v>337</v>
      </c>
      <c r="T4" s="47" t="s">
        <v>338</v>
      </c>
      <c r="U4" s="47" t="s">
        <v>339</v>
      </c>
      <c r="V4" s="47" t="s">
        <v>340</v>
      </c>
      <c r="W4" s="47" t="s">
        <v>341</v>
      </c>
      <c r="X4" s="47" t="s">
        <v>342</v>
      </c>
      <c r="Y4" s="47" t="s">
        <v>343</v>
      </c>
      <c r="Z4" s="47" t="s">
        <v>344</v>
      </c>
      <c r="AA4" s="47" t="s">
        <v>345</v>
      </c>
      <c r="AB4" s="47" t="s">
        <v>346</v>
      </c>
      <c r="AC4" s="47" t="s">
        <v>347</v>
      </c>
    </row>
    <row r="5" ht="15" customHeight="1" spans="1:29">
      <c r="A5" s="97">
        <v>1</v>
      </c>
      <c r="B5" s="10" t="s">
        <v>549</v>
      </c>
      <c r="C5" s="51" t="e">
        <f t="shared" ref="C5:C36" si="0">SUM(D5:AC5)</f>
        <v>#VALUE!</v>
      </c>
      <c r="D5" s="51">
        <f t="shared" ref="D5:AC5" si="1">D6-D10</f>
        <v>0</v>
      </c>
      <c r="E5" s="51" t="e">
        <f t="shared" si="1"/>
        <v>#VALUE!</v>
      </c>
      <c r="F5" s="51" t="e">
        <f t="shared" si="1"/>
        <v>#VALUE!</v>
      </c>
      <c r="G5" s="51" t="e">
        <f t="shared" si="1"/>
        <v>#VALUE!</v>
      </c>
      <c r="H5" s="51" t="e">
        <f t="shared" si="1"/>
        <v>#VALUE!</v>
      </c>
      <c r="I5" s="51" t="e">
        <f t="shared" si="1"/>
        <v>#VALUE!</v>
      </c>
      <c r="J5" s="51" t="e">
        <f t="shared" si="1"/>
        <v>#VALUE!</v>
      </c>
      <c r="K5" s="51" t="e">
        <f t="shared" si="1"/>
        <v>#VALUE!</v>
      </c>
      <c r="L5" s="51" t="e">
        <f t="shared" si="1"/>
        <v>#VALUE!</v>
      </c>
      <c r="M5" s="51" t="e">
        <f t="shared" si="1"/>
        <v>#VALUE!</v>
      </c>
      <c r="N5" s="51" t="e">
        <f t="shared" si="1"/>
        <v>#VALUE!</v>
      </c>
      <c r="O5" s="51" t="e">
        <f t="shared" si="1"/>
        <v>#VALUE!</v>
      </c>
      <c r="P5" s="51" t="e">
        <f t="shared" si="1"/>
        <v>#VALUE!</v>
      </c>
      <c r="Q5" s="51" t="e">
        <f t="shared" si="1"/>
        <v>#VALUE!</v>
      </c>
      <c r="R5" s="51" t="e">
        <f t="shared" si="1"/>
        <v>#VALUE!</v>
      </c>
      <c r="S5" s="51" t="e">
        <f t="shared" si="1"/>
        <v>#VALUE!</v>
      </c>
      <c r="T5" s="51" t="e">
        <f t="shared" si="1"/>
        <v>#VALUE!</v>
      </c>
      <c r="U5" s="51" t="e">
        <f t="shared" si="1"/>
        <v>#VALUE!</v>
      </c>
      <c r="V5" s="51" t="e">
        <f t="shared" si="1"/>
        <v>#VALUE!</v>
      </c>
      <c r="W5" s="51" t="e">
        <f t="shared" si="1"/>
        <v>#VALUE!</v>
      </c>
      <c r="X5" s="51" t="e">
        <f t="shared" si="1"/>
        <v>#VALUE!</v>
      </c>
      <c r="Y5" s="51" t="e">
        <f t="shared" si="1"/>
        <v>#VALUE!</v>
      </c>
      <c r="Z5" s="51" t="e">
        <f t="shared" si="1"/>
        <v>#VALUE!</v>
      </c>
      <c r="AA5" s="51" t="e">
        <f t="shared" si="1"/>
        <v>#VALUE!</v>
      </c>
      <c r="AB5" s="51" t="e">
        <f t="shared" si="1"/>
        <v>#VALUE!</v>
      </c>
      <c r="AC5" s="51" t="e">
        <f t="shared" si="1"/>
        <v>#VALUE!</v>
      </c>
    </row>
    <row r="6" ht="15" customHeight="1" spans="1:29">
      <c r="A6" s="12">
        <v>1.1</v>
      </c>
      <c r="B6" s="10" t="s">
        <v>550</v>
      </c>
      <c r="C6" s="51" t="e">
        <f t="shared" si="0"/>
        <v>#VALUE!</v>
      </c>
      <c r="D6" s="51">
        <f t="shared" ref="D6:AC6" si="2">SUM(D7:D9)</f>
        <v>0</v>
      </c>
      <c r="E6" s="51" t="e">
        <f t="shared" si="2"/>
        <v>#VALUE!</v>
      </c>
      <c r="F6" s="51" t="e">
        <f t="shared" si="2"/>
        <v>#VALUE!</v>
      </c>
      <c r="G6" s="51" t="e">
        <f t="shared" si="2"/>
        <v>#VALUE!</v>
      </c>
      <c r="H6" s="51" t="e">
        <f t="shared" si="2"/>
        <v>#VALUE!</v>
      </c>
      <c r="I6" s="51" t="e">
        <f t="shared" si="2"/>
        <v>#VALUE!</v>
      </c>
      <c r="J6" s="51" t="e">
        <f t="shared" si="2"/>
        <v>#VALUE!</v>
      </c>
      <c r="K6" s="51" t="e">
        <f t="shared" si="2"/>
        <v>#VALUE!</v>
      </c>
      <c r="L6" s="51" t="e">
        <f t="shared" si="2"/>
        <v>#VALUE!</v>
      </c>
      <c r="M6" s="51" t="e">
        <f t="shared" si="2"/>
        <v>#VALUE!</v>
      </c>
      <c r="N6" s="51" t="e">
        <f t="shared" si="2"/>
        <v>#VALUE!</v>
      </c>
      <c r="O6" s="51" t="e">
        <f t="shared" si="2"/>
        <v>#VALUE!</v>
      </c>
      <c r="P6" s="51" t="e">
        <f t="shared" si="2"/>
        <v>#VALUE!</v>
      </c>
      <c r="Q6" s="51" t="e">
        <f t="shared" si="2"/>
        <v>#VALUE!</v>
      </c>
      <c r="R6" s="51" t="e">
        <f t="shared" si="2"/>
        <v>#VALUE!</v>
      </c>
      <c r="S6" s="51" t="e">
        <f t="shared" si="2"/>
        <v>#VALUE!</v>
      </c>
      <c r="T6" s="51" t="e">
        <f t="shared" si="2"/>
        <v>#VALUE!</v>
      </c>
      <c r="U6" s="51" t="e">
        <f t="shared" si="2"/>
        <v>#VALUE!</v>
      </c>
      <c r="V6" s="51" t="e">
        <f t="shared" si="2"/>
        <v>#VALUE!</v>
      </c>
      <c r="W6" s="51" t="e">
        <f t="shared" si="2"/>
        <v>#VALUE!</v>
      </c>
      <c r="X6" s="51" t="e">
        <f t="shared" si="2"/>
        <v>#VALUE!</v>
      </c>
      <c r="Y6" s="51" t="e">
        <f t="shared" si="2"/>
        <v>#VALUE!</v>
      </c>
      <c r="Z6" s="51" t="e">
        <f t="shared" si="2"/>
        <v>#VALUE!</v>
      </c>
      <c r="AA6" s="51" t="e">
        <f t="shared" si="2"/>
        <v>#VALUE!</v>
      </c>
      <c r="AB6" s="51" t="e">
        <f t="shared" si="2"/>
        <v>#VALUE!</v>
      </c>
      <c r="AC6" s="51" t="e">
        <f t="shared" si="2"/>
        <v>#VALUE!</v>
      </c>
    </row>
    <row r="7" ht="15" customHeight="1" spans="1:29">
      <c r="A7" s="97" t="s">
        <v>551</v>
      </c>
      <c r="B7" s="10" t="s">
        <v>513</v>
      </c>
      <c r="C7" s="51" t="e">
        <f t="shared" si="0"/>
        <v>#VALUE!</v>
      </c>
      <c r="D7" s="51">
        <f>利润与利润分配表!D9*(1+收入和税金!C16%)</f>
        <v>0</v>
      </c>
      <c r="E7" s="51" t="e">
        <f>利润与利润分配表!E9*(1+收入和税金!D16%)</f>
        <v>#VALUE!</v>
      </c>
      <c r="F7" s="51" t="e">
        <f>利润与利润分配表!F9*(1+收入和税金!E16%)</f>
        <v>#VALUE!</v>
      </c>
      <c r="G7" s="51" t="e">
        <f>利润与利润分配表!G9*(1+收入和税金!F16%)</f>
        <v>#VALUE!</v>
      </c>
      <c r="H7" s="51" t="e">
        <f>利润与利润分配表!H9*(1+收入和税金!G16%)</f>
        <v>#VALUE!</v>
      </c>
      <c r="I7" s="51" t="e">
        <f>利润与利润分配表!I9*(1+收入和税金!H16%)</f>
        <v>#VALUE!</v>
      </c>
      <c r="J7" s="51" t="e">
        <f>利润与利润分配表!J9*(1+收入和税金!I16%)</f>
        <v>#VALUE!</v>
      </c>
      <c r="K7" s="51" t="e">
        <f>利润与利润分配表!K9*(1+收入和税金!J16%)</f>
        <v>#VALUE!</v>
      </c>
      <c r="L7" s="51" t="e">
        <f>利润与利润分配表!L9*(1+收入和税金!K16%)</f>
        <v>#VALUE!</v>
      </c>
      <c r="M7" s="51" t="e">
        <f>利润与利润分配表!M9*(1+收入和税金!L16%)</f>
        <v>#VALUE!</v>
      </c>
      <c r="N7" s="51" t="e">
        <f>利润与利润分配表!N9*(1+收入和税金!M16%)</f>
        <v>#VALUE!</v>
      </c>
      <c r="O7" s="51" t="e">
        <f>利润与利润分配表!O9*(1+收入和税金!N16%)</f>
        <v>#VALUE!</v>
      </c>
      <c r="P7" s="51" t="e">
        <f>利润与利润分配表!P9*(1+收入和税金!O16%)</f>
        <v>#VALUE!</v>
      </c>
      <c r="Q7" s="51" t="e">
        <f>利润与利润分配表!Q9*(1+收入和税金!P16%)</f>
        <v>#VALUE!</v>
      </c>
      <c r="R7" s="51" t="e">
        <f>利润与利润分配表!R9*(1+收入和税金!Q16%)</f>
        <v>#VALUE!</v>
      </c>
      <c r="S7" s="51" t="e">
        <f>利润与利润分配表!S9*(1+收入和税金!R16%)</f>
        <v>#VALUE!</v>
      </c>
      <c r="T7" s="51" t="e">
        <f>利润与利润分配表!T9*(1+收入和税金!S16%)</f>
        <v>#VALUE!</v>
      </c>
      <c r="U7" s="51" t="e">
        <f>利润与利润分配表!U9*(1+收入和税金!T16%)</f>
        <v>#VALUE!</v>
      </c>
      <c r="V7" s="51" t="e">
        <f>利润与利润分配表!V9*(1+收入和税金!U16%)</f>
        <v>#VALUE!</v>
      </c>
      <c r="W7" s="51" t="e">
        <f>利润与利润分配表!W9*(1+收入和税金!V16%)</f>
        <v>#VALUE!</v>
      </c>
      <c r="X7" s="51" t="e">
        <f>利润与利润分配表!X9*(1+收入和税金!W16%)</f>
        <v>#VALUE!</v>
      </c>
      <c r="Y7" s="51" t="e">
        <f>利润与利润分配表!Y9*(1+收入和税金!X16%)</f>
        <v>#VALUE!</v>
      </c>
      <c r="Z7" s="51" t="e">
        <f>利润与利润分配表!Z9*(1+收入和税金!Y16%)</f>
        <v>#VALUE!</v>
      </c>
      <c r="AA7" s="51" t="e">
        <f>利润与利润分配表!AA9*(1+收入和税金!Z16%)</f>
        <v>#VALUE!</v>
      </c>
      <c r="AB7" s="51" t="e">
        <f>利润与利润分配表!AB9*(1+收入和税金!AA16%)</f>
        <v>#VALUE!</v>
      </c>
      <c r="AC7" s="51" t="e">
        <f>利润与利润分配表!AC9*(1+收入和税金!AB16%)</f>
        <v>#VALUE!</v>
      </c>
    </row>
    <row r="8" ht="15" customHeight="1" spans="1:29">
      <c r="A8" s="97" t="s">
        <v>552</v>
      </c>
      <c r="B8" s="10" t="s">
        <v>553</v>
      </c>
      <c r="C8" s="51">
        <f t="shared" si="0"/>
        <v>0</v>
      </c>
      <c r="D8" s="51">
        <f>收入和税金!C48</f>
        <v>0</v>
      </c>
      <c r="E8" s="51">
        <f>收入和税金!D48</f>
        <v>0</v>
      </c>
      <c r="F8" s="51">
        <f>收入和税金!E48</f>
        <v>0</v>
      </c>
      <c r="G8" s="51">
        <f>收入和税金!F48</f>
        <v>0</v>
      </c>
      <c r="H8" s="51">
        <f>收入和税金!G48</f>
        <v>0</v>
      </c>
      <c r="I8" s="51">
        <f>收入和税金!H48</f>
        <v>0</v>
      </c>
      <c r="J8" s="51">
        <f>收入和税金!I48</f>
        <v>0</v>
      </c>
      <c r="K8" s="51">
        <f>收入和税金!J48</f>
        <v>0</v>
      </c>
      <c r="L8" s="51">
        <f>收入和税金!K48</f>
        <v>0</v>
      </c>
      <c r="M8" s="51">
        <f>收入和税金!L48</f>
        <v>0</v>
      </c>
      <c r="N8" s="51">
        <f>收入和税金!M48</f>
        <v>0</v>
      </c>
      <c r="O8" s="51">
        <f>收入和税金!N48</f>
        <v>0</v>
      </c>
      <c r="P8" s="51">
        <f>收入和税金!O48</f>
        <v>0</v>
      </c>
      <c r="Q8" s="51">
        <f>收入和税金!P48</f>
        <v>0</v>
      </c>
      <c r="R8" s="51">
        <f>收入和税金!Q48</f>
        <v>0</v>
      </c>
      <c r="S8" s="51">
        <f>收入和税金!R48</f>
        <v>0</v>
      </c>
      <c r="T8" s="51">
        <f>收入和税金!S48</f>
        <v>0</v>
      </c>
      <c r="U8" s="51">
        <f>收入和税金!T48</f>
        <v>0</v>
      </c>
      <c r="V8" s="51">
        <f>收入和税金!U48</f>
        <v>0</v>
      </c>
      <c r="W8" s="51">
        <f>收入和税金!V48</f>
        <v>0</v>
      </c>
      <c r="X8" s="51">
        <f>收入和税金!W48</f>
        <v>0</v>
      </c>
      <c r="Y8" s="51">
        <f>收入和税金!X48</f>
        <v>0</v>
      </c>
      <c r="Z8" s="51">
        <f>收入和税金!Y48</f>
        <v>0</v>
      </c>
      <c r="AA8" s="51">
        <f>收入和税金!Z48</f>
        <v>0</v>
      </c>
      <c r="AB8" s="51">
        <f>收入和税金!AA48</f>
        <v>0</v>
      </c>
      <c r="AC8" s="51">
        <f>收入和税金!AB48</f>
        <v>0</v>
      </c>
    </row>
    <row r="9" ht="15" customHeight="1" spans="1:29">
      <c r="A9" s="97" t="s">
        <v>554</v>
      </c>
      <c r="B9" s="10" t="s">
        <v>555</v>
      </c>
      <c r="C9" s="51">
        <f t="shared" si="0"/>
        <v>0</v>
      </c>
      <c r="D9" s="51">
        <f>收入和税金!C62</f>
        <v>0</v>
      </c>
      <c r="E9" s="51">
        <f>收入和税金!D62</f>
        <v>0</v>
      </c>
      <c r="F9" s="51">
        <f>收入和税金!E62</f>
        <v>0</v>
      </c>
      <c r="G9" s="51">
        <f>收入和税金!F62</f>
        <v>0</v>
      </c>
      <c r="H9" s="51">
        <f>收入和税金!G62</f>
        <v>0</v>
      </c>
      <c r="I9" s="51">
        <f>收入和税金!H62</f>
        <v>0</v>
      </c>
      <c r="J9" s="51">
        <f>收入和税金!I62</f>
        <v>0</v>
      </c>
      <c r="K9" s="51">
        <f>收入和税金!J62</f>
        <v>0</v>
      </c>
      <c r="L9" s="51">
        <f>收入和税金!K62</f>
        <v>0</v>
      </c>
      <c r="M9" s="51">
        <f>收入和税金!L62</f>
        <v>0</v>
      </c>
      <c r="N9" s="51">
        <f>收入和税金!M62</f>
        <v>0</v>
      </c>
      <c r="O9" s="51">
        <f>收入和税金!N62</f>
        <v>0</v>
      </c>
      <c r="P9" s="51">
        <f>收入和税金!O62</f>
        <v>0</v>
      </c>
      <c r="Q9" s="51">
        <f>收入和税金!P62</f>
        <v>0</v>
      </c>
      <c r="R9" s="51">
        <f>收入和税金!Q62</f>
        <v>0</v>
      </c>
      <c r="S9" s="51">
        <f>收入和税金!R62</f>
        <v>0</v>
      </c>
      <c r="T9" s="51">
        <f>收入和税金!S62</f>
        <v>0</v>
      </c>
      <c r="U9" s="51">
        <f>收入和税金!T62</f>
        <v>0</v>
      </c>
      <c r="V9" s="51">
        <f>收入和税金!U62</f>
        <v>0</v>
      </c>
      <c r="W9" s="51">
        <f>收入和税金!V62</f>
        <v>0</v>
      </c>
      <c r="X9" s="51">
        <f>收入和税金!W62</f>
        <v>0</v>
      </c>
      <c r="Y9" s="51">
        <f>收入和税金!X62</f>
        <v>0</v>
      </c>
      <c r="Z9" s="51">
        <f>收入和税金!Y62</f>
        <v>0</v>
      </c>
      <c r="AA9" s="51">
        <f>收入和税金!Z62</f>
        <v>0</v>
      </c>
      <c r="AB9" s="51">
        <f>收入和税金!AA62</f>
        <v>0</v>
      </c>
      <c r="AC9" s="51">
        <f>收入和税金!AB62</f>
        <v>0</v>
      </c>
    </row>
    <row r="10" ht="15" customHeight="1" spans="1:29">
      <c r="A10" s="12">
        <v>1.2</v>
      </c>
      <c r="B10" s="10" t="s">
        <v>556</v>
      </c>
      <c r="C10" s="51" t="e">
        <f t="shared" si="0"/>
        <v>#REF!</v>
      </c>
      <c r="D10" s="51">
        <f t="shared" ref="D10:AC10" si="3">SUM(D11:D15)</f>
        <v>0</v>
      </c>
      <c r="E10" s="51" t="e">
        <f t="shared" si="3"/>
        <v>#REF!</v>
      </c>
      <c r="F10" s="51" t="e">
        <f t="shared" si="3"/>
        <v>#REF!</v>
      </c>
      <c r="G10" s="51" t="e">
        <f t="shared" si="3"/>
        <v>#REF!</v>
      </c>
      <c r="H10" s="51" t="e">
        <f t="shared" si="3"/>
        <v>#REF!</v>
      </c>
      <c r="I10" s="51" t="e">
        <f t="shared" si="3"/>
        <v>#REF!</v>
      </c>
      <c r="J10" s="51" t="e">
        <f t="shared" si="3"/>
        <v>#REF!</v>
      </c>
      <c r="K10" s="51" t="e">
        <f t="shared" si="3"/>
        <v>#REF!</v>
      </c>
      <c r="L10" s="51" t="e">
        <f t="shared" si="3"/>
        <v>#REF!</v>
      </c>
      <c r="M10" s="51" t="e">
        <f t="shared" si="3"/>
        <v>#REF!</v>
      </c>
      <c r="N10" s="51" t="e">
        <f t="shared" si="3"/>
        <v>#REF!</v>
      </c>
      <c r="O10" s="51" t="e">
        <f t="shared" si="3"/>
        <v>#REF!</v>
      </c>
      <c r="P10" s="51" t="e">
        <f t="shared" si="3"/>
        <v>#REF!</v>
      </c>
      <c r="Q10" s="51" t="e">
        <f t="shared" si="3"/>
        <v>#REF!</v>
      </c>
      <c r="R10" s="51" t="e">
        <f t="shared" si="3"/>
        <v>#REF!</v>
      </c>
      <c r="S10" s="51" t="e">
        <f t="shared" si="3"/>
        <v>#REF!</v>
      </c>
      <c r="T10" s="51" t="e">
        <f t="shared" si="3"/>
        <v>#REF!</v>
      </c>
      <c r="U10" s="51" t="e">
        <f t="shared" si="3"/>
        <v>#REF!</v>
      </c>
      <c r="V10" s="51" t="e">
        <f t="shared" si="3"/>
        <v>#REF!</v>
      </c>
      <c r="W10" s="51" t="e">
        <f t="shared" si="3"/>
        <v>#REF!</v>
      </c>
      <c r="X10" s="51" t="e">
        <f t="shared" si="3"/>
        <v>#REF!</v>
      </c>
      <c r="Y10" s="51" t="e">
        <f t="shared" si="3"/>
        <v>#REF!</v>
      </c>
      <c r="Z10" s="51" t="e">
        <f t="shared" si="3"/>
        <v>#REF!</v>
      </c>
      <c r="AA10" s="51" t="e">
        <f t="shared" si="3"/>
        <v>#REF!</v>
      </c>
      <c r="AB10" s="51" t="e">
        <f t="shared" si="3"/>
        <v>#REF!</v>
      </c>
      <c r="AC10" s="51" t="e">
        <f t="shared" si="3"/>
        <v>#REF!</v>
      </c>
    </row>
    <row r="11" ht="15" customHeight="1" spans="1:29">
      <c r="A11" s="97" t="s">
        <v>491</v>
      </c>
      <c r="B11" s="10" t="s">
        <v>486</v>
      </c>
      <c r="C11" s="51" t="e">
        <f t="shared" si="0"/>
        <v>#REF!</v>
      </c>
      <c r="D11" s="51">
        <f>总成本费用表!D21</f>
        <v>0</v>
      </c>
      <c r="E11" s="51" t="e">
        <f>总成本费用表!E21</f>
        <v>#REF!</v>
      </c>
      <c r="F11" s="51" t="e">
        <f>总成本费用表!F21</f>
        <v>#REF!</v>
      </c>
      <c r="G11" s="51" t="e">
        <f>总成本费用表!G21</f>
        <v>#REF!</v>
      </c>
      <c r="H11" s="51" t="e">
        <f>总成本费用表!H21</f>
        <v>#REF!</v>
      </c>
      <c r="I11" s="51" t="e">
        <f>总成本费用表!I21</f>
        <v>#REF!</v>
      </c>
      <c r="J11" s="51" t="e">
        <f>总成本费用表!J21</f>
        <v>#REF!</v>
      </c>
      <c r="K11" s="51" t="e">
        <f>总成本费用表!K21</f>
        <v>#REF!</v>
      </c>
      <c r="L11" s="51" t="e">
        <f>总成本费用表!L21</f>
        <v>#REF!</v>
      </c>
      <c r="M11" s="51" t="e">
        <f>总成本费用表!M21</f>
        <v>#REF!</v>
      </c>
      <c r="N11" s="51" t="e">
        <f>总成本费用表!N21</f>
        <v>#REF!</v>
      </c>
      <c r="O11" s="51" t="e">
        <f>总成本费用表!O21</f>
        <v>#REF!</v>
      </c>
      <c r="P11" s="51" t="e">
        <f>总成本费用表!P21</f>
        <v>#REF!</v>
      </c>
      <c r="Q11" s="51" t="e">
        <f>总成本费用表!Q21</f>
        <v>#REF!</v>
      </c>
      <c r="R11" s="51" t="e">
        <f>总成本费用表!R21</f>
        <v>#REF!</v>
      </c>
      <c r="S11" s="51" t="e">
        <f>总成本费用表!S21</f>
        <v>#REF!</v>
      </c>
      <c r="T11" s="51" t="e">
        <f>总成本费用表!T21</f>
        <v>#REF!</v>
      </c>
      <c r="U11" s="51" t="e">
        <f>总成本费用表!U21</f>
        <v>#REF!</v>
      </c>
      <c r="V11" s="51" t="e">
        <f>总成本费用表!V21</f>
        <v>#REF!</v>
      </c>
      <c r="W11" s="51" t="e">
        <f>总成本费用表!W21</f>
        <v>#REF!</v>
      </c>
      <c r="X11" s="51" t="e">
        <f>总成本费用表!X21</f>
        <v>#REF!</v>
      </c>
      <c r="Y11" s="51" t="e">
        <f>总成本费用表!Y21</f>
        <v>#REF!</v>
      </c>
      <c r="Z11" s="51" t="e">
        <f>总成本费用表!Z21</f>
        <v>#REF!</v>
      </c>
      <c r="AA11" s="51" t="e">
        <f>总成本费用表!AA21</f>
        <v>#REF!</v>
      </c>
      <c r="AB11" s="51" t="e">
        <f>总成本费用表!AB21</f>
        <v>#REF!</v>
      </c>
      <c r="AC11" s="51" t="e">
        <f>总成本费用表!AC21</f>
        <v>#REF!</v>
      </c>
    </row>
    <row r="12" ht="15" customHeight="1" spans="1:29">
      <c r="A12" s="97" t="s">
        <v>557</v>
      </c>
      <c r="B12" s="10" t="s">
        <v>515</v>
      </c>
      <c r="C12" s="51" t="e">
        <f t="shared" si="0"/>
        <v>#VALUE!</v>
      </c>
      <c r="D12" s="51">
        <f>利润与利润分配表!D12</f>
        <v>0</v>
      </c>
      <c r="E12" s="51" t="e">
        <f>利润与利润分配表!E12</f>
        <v>#VALUE!</v>
      </c>
      <c r="F12" s="51" t="e">
        <f>利润与利润分配表!F12</f>
        <v>#VALUE!</v>
      </c>
      <c r="G12" s="51" t="e">
        <f>利润与利润分配表!G12</f>
        <v>#VALUE!</v>
      </c>
      <c r="H12" s="51" t="e">
        <f>利润与利润分配表!H12</f>
        <v>#VALUE!</v>
      </c>
      <c r="I12" s="51" t="e">
        <f>利润与利润分配表!I12</f>
        <v>#VALUE!</v>
      </c>
      <c r="J12" s="51" t="e">
        <f>利润与利润分配表!J12</f>
        <v>#VALUE!</v>
      </c>
      <c r="K12" s="51" t="e">
        <f>利润与利润分配表!K12</f>
        <v>#VALUE!</v>
      </c>
      <c r="L12" s="51" t="e">
        <f>利润与利润分配表!L12</f>
        <v>#VALUE!</v>
      </c>
      <c r="M12" s="51" t="e">
        <f>利润与利润分配表!M12</f>
        <v>#VALUE!</v>
      </c>
      <c r="N12" s="51" t="e">
        <f>利润与利润分配表!N12</f>
        <v>#VALUE!</v>
      </c>
      <c r="O12" s="51" t="e">
        <f>利润与利润分配表!O12</f>
        <v>#VALUE!</v>
      </c>
      <c r="P12" s="51" t="e">
        <f>利润与利润分配表!P12</f>
        <v>#VALUE!</v>
      </c>
      <c r="Q12" s="51" t="e">
        <f>利润与利润分配表!Q12</f>
        <v>#VALUE!</v>
      </c>
      <c r="R12" s="51" t="e">
        <f>利润与利润分配表!R12</f>
        <v>#VALUE!</v>
      </c>
      <c r="S12" s="51" t="e">
        <f>利润与利润分配表!S12</f>
        <v>#VALUE!</v>
      </c>
      <c r="T12" s="51" t="e">
        <f>利润与利润分配表!T12</f>
        <v>#VALUE!</v>
      </c>
      <c r="U12" s="51" t="e">
        <f>利润与利润分配表!U12</f>
        <v>#VALUE!</v>
      </c>
      <c r="V12" s="51" t="e">
        <f>利润与利润分配表!V12</f>
        <v>#VALUE!</v>
      </c>
      <c r="W12" s="51" t="e">
        <f>利润与利润分配表!W12</f>
        <v>#VALUE!</v>
      </c>
      <c r="X12" s="51" t="e">
        <f>利润与利润分配表!X12</f>
        <v>#VALUE!</v>
      </c>
      <c r="Y12" s="51" t="e">
        <f>利润与利润分配表!Y12</f>
        <v>#VALUE!</v>
      </c>
      <c r="Z12" s="51" t="e">
        <f>利润与利润分配表!Z12</f>
        <v>#VALUE!</v>
      </c>
      <c r="AA12" s="51" t="e">
        <f>利润与利润分配表!AA12</f>
        <v>#VALUE!</v>
      </c>
      <c r="AB12" s="51" t="e">
        <f>利润与利润分配表!AB12</f>
        <v>#VALUE!</v>
      </c>
      <c r="AC12" s="51" t="e">
        <f>利润与利润分配表!AC12</f>
        <v>#VALUE!</v>
      </c>
    </row>
    <row r="13" ht="15" customHeight="1" spans="1:29">
      <c r="A13" s="97" t="s">
        <v>558</v>
      </c>
      <c r="B13" s="32" t="s">
        <v>559</v>
      </c>
      <c r="C13" s="51" t="e">
        <f t="shared" si="0"/>
        <v>#VALUE!</v>
      </c>
      <c r="D13" s="51">
        <f>IF(利润与利润分配表!D37&lt;0,0-利润与利润分配表!D16,利润与利润分配表!D37-利润与利润分配表!D16)</f>
        <v>0</v>
      </c>
      <c r="E13" s="51" t="e">
        <f>IF(利润与利润分配表!E37&lt;0,0-利润与利润分配表!E16,利润与利润分配表!E37-利润与利润分配表!E16)</f>
        <v>#VALUE!</v>
      </c>
      <c r="F13" s="51" t="e">
        <f>IF(利润与利润分配表!F37&lt;0,0-利润与利润分配表!F16,利润与利润分配表!F37-利润与利润分配表!F16)</f>
        <v>#VALUE!</v>
      </c>
      <c r="G13" s="51" t="e">
        <f>IF(利润与利润分配表!G37&lt;0,0-利润与利润分配表!G16,利润与利润分配表!G37-利润与利润分配表!G16)</f>
        <v>#VALUE!</v>
      </c>
      <c r="H13" s="51" t="e">
        <f>IF(利润与利润分配表!H37&lt;0,0-利润与利润分配表!H16,利润与利润分配表!H37-利润与利润分配表!H16)</f>
        <v>#VALUE!</v>
      </c>
      <c r="I13" s="51" t="e">
        <f>IF(利润与利润分配表!I37&lt;0,0-利润与利润分配表!I16,利润与利润分配表!I37-利润与利润分配表!I16)</f>
        <v>#VALUE!</v>
      </c>
      <c r="J13" s="51" t="e">
        <f>IF(利润与利润分配表!J37&lt;0,0-利润与利润分配表!J16,利润与利润分配表!J37-利润与利润分配表!J16)</f>
        <v>#VALUE!</v>
      </c>
      <c r="K13" s="51" t="e">
        <f>IF(利润与利润分配表!K37&lt;0,0-利润与利润分配表!K16,利润与利润分配表!K37-利润与利润分配表!K16)</f>
        <v>#VALUE!</v>
      </c>
      <c r="L13" s="51" t="e">
        <f>IF(利润与利润分配表!L37&lt;0,0-利润与利润分配表!L16,利润与利润分配表!L37-利润与利润分配表!L16)</f>
        <v>#VALUE!</v>
      </c>
      <c r="M13" s="51" t="e">
        <f>IF(利润与利润分配表!M37&lt;0,0-利润与利润分配表!M16,利润与利润分配表!M37-利润与利润分配表!M16)</f>
        <v>#VALUE!</v>
      </c>
      <c r="N13" s="51" t="e">
        <f>IF(利润与利润分配表!N37&lt;0,0-利润与利润分配表!N16,利润与利润分配表!N37-利润与利润分配表!N16)</f>
        <v>#VALUE!</v>
      </c>
      <c r="O13" s="51" t="e">
        <f>IF(利润与利润分配表!O37&lt;0,0-利润与利润分配表!O16,利润与利润分配表!O37-利润与利润分配表!O16)</f>
        <v>#VALUE!</v>
      </c>
      <c r="P13" s="51" t="e">
        <f>IF(利润与利润分配表!P37&lt;0,0-利润与利润分配表!P16,利润与利润分配表!P37-利润与利润分配表!P16)</f>
        <v>#VALUE!</v>
      </c>
      <c r="Q13" s="51" t="e">
        <f>IF(利润与利润分配表!Q37&lt;0,0-利润与利润分配表!Q16,利润与利润分配表!Q37-利润与利润分配表!Q16)</f>
        <v>#VALUE!</v>
      </c>
      <c r="R13" s="51" t="e">
        <f>IF(利润与利润分配表!R37&lt;0,0-利润与利润分配表!R16,利润与利润分配表!R37-利润与利润分配表!R16)</f>
        <v>#VALUE!</v>
      </c>
      <c r="S13" s="51" t="e">
        <f>IF(利润与利润分配表!S37&lt;0,0-利润与利润分配表!S16,利润与利润分配表!S37-利润与利润分配表!S16)</f>
        <v>#VALUE!</v>
      </c>
      <c r="T13" s="51" t="e">
        <f>IF(利润与利润分配表!T37&lt;0,0-利润与利润分配表!T16,利润与利润分配表!T37-利润与利润分配表!T16)</f>
        <v>#VALUE!</v>
      </c>
      <c r="U13" s="51" t="e">
        <f>IF(利润与利润分配表!U37&lt;0,0-利润与利润分配表!U16,利润与利润分配表!U37-利润与利润分配表!U16)</f>
        <v>#VALUE!</v>
      </c>
      <c r="V13" s="51" t="e">
        <f>IF(利润与利润分配表!V37&lt;0,0-利润与利润分配表!V16,利润与利润分配表!V37-利润与利润分配表!V16)</f>
        <v>#VALUE!</v>
      </c>
      <c r="W13" s="51" t="e">
        <f>IF(利润与利润分配表!W37&lt;0,0-利润与利润分配表!W16,利润与利润分配表!W37-利润与利润分配表!W16)</f>
        <v>#VALUE!</v>
      </c>
      <c r="X13" s="51" t="e">
        <f>IF(利润与利润分配表!X37&lt;0,0-利润与利润分配表!X16,利润与利润分配表!X37-利润与利润分配表!X16)</f>
        <v>#VALUE!</v>
      </c>
      <c r="Y13" s="51" t="e">
        <f>IF(利润与利润分配表!Y37&lt;0,0-利润与利润分配表!Y16,利润与利润分配表!Y37-利润与利润分配表!Y16)</f>
        <v>#VALUE!</v>
      </c>
      <c r="Z13" s="51" t="e">
        <f>IF(利润与利润分配表!Z37&lt;0,0-利润与利润分配表!Z16,利润与利润分配表!Z37-利润与利润分配表!Z16)</f>
        <v>#VALUE!</v>
      </c>
      <c r="AA13" s="51" t="e">
        <f>IF(利润与利润分配表!AA37&lt;0,0-利润与利润分配表!AA16,利润与利润分配表!AA37-利润与利润分配表!AA16)</f>
        <v>#VALUE!</v>
      </c>
      <c r="AB13" s="51" t="e">
        <f>IF(利润与利润分配表!AB37&lt;0,0-利润与利润分配表!AB16,利润与利润分配表!AB37-利润与利润分配表!AB16)</f>
        <v>#VALUE!</v>
      </c>
      <c r="AC13" s="51" t="e">
        <f>IF(利润与利润分配表!AC37&lt;0,0-利润与利润分配表!AC16,利润与利润分配表!AC37-利润与利润分配表!AC16)</f>
        <v>#VALUE!</v>
      </c>
    </row>
    <row r="14" ht="15" customHeight="1" spans="1:29">
      <c r="A14" s="97" t="s">
        <v>560</v>
      </c>
      <c r="B14" s="32" t="s">
        <v>383</v>
      </c>
      <c r="C14" s="51">
        <f t="shared" si="0"/>
        <v>0</v>
      </c>
      <c r="D14" s="51">
        <f>成本费用!C74</f>
        <v>0</v>
      </c>
      <c r="E14" s="51">
        <f>成本费用!D74</f>
        <v>0</v>
      </c>
      <c r="F14" s="51">
        <f>成本费用!E74</f>
        <v>0</v>
      </c>
      <c r="G14" s="51">
        <f>成本费用!F74</f>
        <v>0</v>
      </c>
      <c r="H14" s="51">
        <f>成本费用!G74</f>
        <v>0</v>
      </c>
      <c r="I14" s="51">
        <f>成本费用!H74</f>
        <v>0</v>
      </c>
      <c r="J14" s="51">
        <f>成本费用!I74</f>
        <v>0</v>
      </c>
      <c r="K14" s="51">
        <f>成本费用!J74</f>
        <v>0</v>
      </c>
      <c r="L14" s="51">
        <f>成本费用!K74</f>
        <v>0</v>
      </c>
      <c r="M14" s="51">
        <f>成本费用!L74</f>
        <v>0</v>
      </c>
      <c r="N14" s="51">
        <f>成本费用!M74</f>
        <v>0</v>
      </c>
      <c r="O14" s="51">
        <f>成本费用!N74</f>
        <v>0</v>
      </c>
      <c r="P14" s="51">
        <f>成本费用!O74</f>
        <v>0</v>
      </c>
      <c r="Q14" s="51">
        <f>成本费用!P74</f>
        <v>0</v>
      </c>
      <c r="R14" s="51">
        <f>成本费用!Q74</f>
        <v>0</v>
      </c>
      <c r="S14" s="51">
        <f>成本费用!R74</f>
        <v>0</v>
      </c>
      <c r="T14" s="51">
        <f>成本费用!S74</f>
        <v>0</v>
      </c>
      <c r="U14" s="51">
        <f>成本费用!T74</f>
        <v>0</v>
      </c>
      <c r="V14" s="51">
        <f>成本费用!U74</f>
        <v>0</v>
      </c>
      <c r="W14" s="51">
        <f>成本费用!V74</f>
        <v>0</v>
      </c>
      <c r="X14" s="51">
        <f>成本费用!W74</f>
        <v>0</v>
      </c>
      <c r="Y14" s="51">
        <f>成本费用!X74</f>
        <v>0</v>
      </c>
      <c r="Z14" s="51">
        <f>成本费用!Y74</f>
        <v>0</v>
      </c>
      <c r="AA14" s="51">
        <f>成本费用!Z74</f>
        <v>0</v>
      </c>
      <c r="AB14" s="51">
        <f>成本费用!AA74</f>
        <v>0</v>
      </c>
      <c r="AC14" s="51">
        <f>成本费用!AB74</f>
        <v>0</v>
      </c>
    </row>
    <row r="15" ht="15" customHeight="1" spans="1:29">
      <c r="A15" s="97" t="s">
        <v>561</v>
      </c>
      <c r="B15" s="10" t="s">
        <v>520</v>
      </c>
      <c r="C15" s="51" t="e">
        <f t="shared" si="0"/>
        <v>#VALUE!</v>
      </c>
      <c r="D15" s="51">
        <f>利润与利润分配表!D20</f>
        <v>0</v>
      </c>
      <c r="E15" s="51" t="e">
        <f>利润与利润分配表!E20</f>
        <v>#VALUE!</v>
      </c>
      <c r="F15" s="51" t="e">
        <f>利润与利润分配表!F20</f>
        <v>#VALUE!</v>
      </c>
      <c r="G15" s="51" t="e">
        <f>利润与利润分配表!G20</f>
        <v>#VALUE!</v>
      </c>
      <c r="H15" s="51" t="e">
        <f>利润与利润分配表!H20</f>
        <v>#VALUE!</v>
      </c>
      <c r="I15" s="51" t="e">
        <f>利润与利润分配表!I20</f>
        <v>#VALUE!</v>
      </c>
      <c r="J15" s="51" t="e">
        <f>利润与利润分配表!J20</f>
        <v>#VALUE!</v>
      </c>
      <c r="K15" s="51" t="e">
        <f>利润与利润分配表!K20</f>
        <v>#VALUE!</v>
      </c>
      <c r="L15" s="51" t="e">
        <f>利润与利润分配表!L20</f>
        <v>#VALUE!</v>
      </c>
      <c r="M15" s="51" t="e">
        <f>利润与利润分配表!M20</f>
        <v>#VALUE!</v>
      </c>
      <c r="N15" s="51" t="e">
        <f>利润与利润分配表!N20</f>
        <v>#VALUE!</v>
      </c>
      <c r="O15" s="51" t="e">
        <f>利润与利润分配表!O20</f>
        <v>#VALUE!</v>
      </c>
      <c r="P15" s="51" t="e">
        <f>利润与利润分配表!P20</f>
        <v>#VALUE!</v>
      </c>
      <c r="Q15" s="51" t="e">
        <f>利润与利润分配表!Q20</f>
        <v>#VALUE!</v>
      </c>
      <c r="R15" s="51" t="e">
        <f>利润与利润分配表!R20</f>
        <v>#VALUE!</v>
      </c>
      <c r="S15" s="51" t="e">
        <f>利润与利润分配表!S20</f>
        <v>#VALUE!</v>
      </c>
      <c r="T15" s="51" t="e">
        <f>利润与利润分配表!T20</f>
        <v>#VALUE!</v>
      </c>
      <c r="U15" s="51" t="e">
        <f>利润与利润分配表!U20</f>
        <v>#VALUE!</v>
      </c>
      <c r="V15" s="51" t="e">
        <f>利润与利润分配表!V20</f>
        <v>#VALUE!</v>
      </c>
      <c r="W15" s="51" t="e">
        <f>利润与利润分配表!W20</f>
        <v>#VALUE!</v>
      </c>
      <c r="X15" s="51" t="e">
        <f>利润与利润分配表!X20</f>
        <v>#VALUE!</v>
      </c>
      <c r="Y15" s="51" t="e">
        <f>利润与利润分配表!Y20</f>
        <v>#VALUE!</v>
      </c>
      <c r="Z15" s="51" t="e">
        <f>利润与利润分配表!Z20</f>
        <v>#VALUE!</v>
      </c>
      <c r="AA15" s="51" t="e">
        <f>利润与利润分配表!AA20</f>
        <v>#VALUE!</v>
      </c>
      <c r="AB15" s="51" t="e">
        <f>利润与利润分配表!AB20</f>
        <v>#VALUE!</v>
      </c>
      <c r="AC15" s="51" t="e">
        <f>利润与利润分配表!AC20</f>
        <v>#VALUE!</v>
      </c>
    </row>
    <row r="16" ht="15" customHeight="1" spans="1:29">
      <c r="A16" s="97">
        <v>2</v>
      </c>
      <c r="B16" s="10" t="s">
        <v>562</v>
      </c>
      <c r="C16" s="51">
        <f t="shared" si="0"/>
        <v>0</v>
      </c>
      <c r="D16" s="51">
        <f t="shared" ref="D16:AC16" si="4">D17-D20</f>
        <v>0</v>
      </c>
      <c r="E16" s="51">
        <f t="shared" si="4"/>
        <v>0</v>
      </c>
      <c r="F16" s="51">
        <f t="shared" si="4"/>
        <v>0</v>
      </c>
      <c r="G16" s="51">
        <f t="shared" si="4"/>
        <v>0</v>
      </c>
      <c r="H16" s="51">
        <f t="shared" si="4"/>
        <v>0</v>
      </c>
      <c r="I16" s="51">
        <f t="shared" si="4"/>
        <v>0</v>
      </c>
      <c r="J16" s="51">
        <f t="shared" si="4"/>
        <v>0</v>
      </c>
      <c r="K16" s="51">
        <f t="shared" si="4"/>
        <v>0</v>
      </c>
      <c r="L16" s="51">
        <f t="shared" si="4"/>
        <v>0</v>
      </c>
      <c r="M16" s="51">
        <f t="shared" si="4"/>
        <v>0</v>
      </c>
      <c r="N16" s="51">
        <f t="shared" si="4"/>
        <v>0</v>
      </c>
      <c r="O16" s="51">
        <f t="shared" si="4"/>
        <v>0</v>
      </c>
      <c r="P16" s="51">
        <f t="shared" si="4"/>
        <v>0</v>
      </c>
      <c r="Q16" s="51">
        <f t="shared" si="4"/>
        <v>0</v>
      </c>
      <c r="R16" s="51">
        <f t="shared" si="4"/>
        <v>0</v>
      </c>
      <c r="S16" s="51">
        <f t="shared" si="4"/>
        <v>0</v>
      </c>
      <c r="T16" s="51">
        <f t="shared" si="4"/>
        <v>0</v>
      </c>
      <c r="U16" s="51">
        <f t="shared" si="4"/>
        <v>0</v>
      </c>
      <c r="V16" s="51">
        <f t="shared" si="4"/>
        <v>0</v>
      </c>
      <c r="W16" s="51">
        <f t="shared" si="4"/>
        <v>0</v>
      </c>
      <c r="X16" s="51">
        <f t="shared" si="4"/>
        <v>0</v>
      </c>
      <c r="Y16" s="51">
        <f t="shared" si="4"/>
        <v>0</v>
      </c>
      <c r="Z16" s="51">
        <f t="shared" si="4"/>
        <v>0</v>
      </c>
      <c r="AA16" s="51">
        <f t="shared" si="4"/>
        <v>0</v>
      </c>
      <c r="AB16" s="51">
        <f t="shared" si="4"/>
        <v>0</v>
      </c>
      <c r="AC16" s="51">
        <f t="shared" si="4"/>
        <v>0</v>
      </c>
    </row>
    <row r="17" ht="15" customHeight="1" spans="1:29">
      <c r="A17" s="12">
        <v>2.1</v>
      </c>
      <c r="B17" s="10" t="s">
        <v>550</v>
      </c>
      <c r="C17" s="51">
        <f t="shared" si="0"/>
        <v>0</v>
      </c>
      <c r="D17" s="51">
        <f t="shared" ref="D17:AC17" si="5">D18+D19</f>
        <v>0</v>
      </c>
      <c r="E17" s="51">
        <f t="shared" si="5"/>
        <v>0</v>
      </c>
      <c r="F17" s="51">
        <f t="shared" si="5"/>
        <v>0</v>
      </c>
      <c r="G17" s="51">
        <f t="shared" si="5"/>
        <v>0</v>
      </c>
      <c r="H17" s="51">
        <f t="shared" si="5"/>
        <v>0</v>
      </c>
      <c r="I17" s="51">
        <f t="shared" si="5"/>
        <v>0</v>
      </c>
      <c r="J17" s="51">
        <f t="shared" si="5"/>
        <v>0</v>
      </c>
      <c r="K17" s="51">
        <f t="shared" si="5"/>
        <v>0</v>
      </c>
      <c r="L17" s="51">
        <f t="shared" si="5"/>
        <v>0</v>
      </c>
      <c r="M17" s="51">
        <f t="shared" si="5"/>
        <v>0</v>
      </c>
      <c r="N17" s="51">
        <f t="shared" si="5"/>
        <v>0</v>
      </c>
      <c r="O17" s="51">
        <f t="shared" si="5"/>
        <v>0</v>
      </c>
      <c r="P17" s="51">
        <f t="shared" si="5"/>
        <v>0</v>
      </c>
      <c r="Q17" s="51">
        <f t="shared" si="5"/>
        <v>0</v>
      </c>
      <c r="R17" s="51">
        <f t="shared" si="5"/>
        <v>0</v>
      </c>
      <c r="S17" s="51">
        <f t="shared" si="5"/>
        <v>0</v>
      </c>
      <c r="T17" s="51">
        <f t="shared" si="5"/>
        <v>0</v>
      </c>
      <c r="U17" s="51">
        <f t="shared" si="5"/>
        <v>0</v>
      </c>
      <c r="V17" s="51">
        <f t="shared" si="5"/>
        <v>0</v>
      </c>
      <c r="W17" s="51">
        <f t="shared" si="5"/>
        <v>0</v>
      </c>
      <c r="X17" s="51">
        <f t="shared" si="5"/>
        <v>0</v>
      </c>
      <c r="Y17" s="51">
        <f t="shared" si="5"/>
        <v>0</v>
      </c>
      <c r="Z17" s="51">
        <f t="shared" si="5"/>
        <v>0</v>
      </c>
      <c r="AA17" s="51">
        <f t="shared" si="5"/>
        <v>0</v>
      </c>
      <c r="AB17" s="51">
        <f t="shared" si="5"/>
        <v>0</v>
      </c>
      <c r="AC17" s="51">
        <f t="shared" si="5"/>
        <v>0</v>
      </c>
    </row>
    <row r="18" ht="15" customHeight="1" spans="1:29">
      <c r="A18" s="97" t="s">
        <v>471</v>
      </c>
      <c r="B18" s="10" t="s">
        <v>563</v>
      </c>
      <c r="C18" s="51">
        <f t="shared" si="0"/>
        <v>0</v>
      </c>
      <c r="D18" s="51">
        <v>0</v>
      </c>
      <c r="E18" s="51">
        <f>IF(COLUMN()-3=基本参数!$B$2,成本费用!D89*成本费用!$C$3/100,0)</f>
        <v>0</v>
      </c>
      <c r="F18" s="51">
        <f>IF(COLUMN()-3=基本参数!$B$2,成本费用!E89*成本费用!$C$3/100,0)</f>
        <v>0</v>
      </c>
      <c r="G18" s="51">
        <f>IF(COLUMN()-3=基本参数!$B$2,成本费用!F89*成本费用!$C$3/100,0)</f>
        <v>0</v>
      </c>
      <c r="H18" s="51">
        <f>IF(COLUMN()-3=基本参数!$B$2,成本费用!G89*成本费用!$C$3/100,0)</f>
        <v>0</v>
      </c>
      <c r="I18" s="51">
        <f>IF(COLUMN()-3=基本参数!$B$2,成本费用!H89*成本费用!$C$3/100,0)</f>
        <v>0</v>
      </c>
      <c r="J18" s="51">
        <f>IF(COLUMN()-3=基本参数!$B$2,成本费用!I89*成本费用!$C$3/100,0)</f>
        <v>0</v>
      </c>
      <c r="K18" s="51">
        <f>IF(COLUMN()-3=基本参数!$B$2,成本费用!J89*成本费用!$C$3/100,0)</f>
        <v>0</v>
      </c>
      <c r="L18" s="51">
        <f>IF(COLUMN()-3=基本参数!$B$2,成本费用!K89*成本费用!$C$3/100,0)</f>
        <v>0</v>
      </c>
      <c r="M18" s="51">
        <f>IF(COLUMN()-3=基本参数!$B$2,成本费用!L89*成本费用!$C$3/100,0)</f>
        <v>0</v>
      </c>
      <c r="N18" s="51">
        <f>IF(COLUMN()-3=基本参数!$B$2,成本费用!M89*成本费用!$C$3/100,0)</f>
        <v>0</v>
      </c>
      <c r="O18" s="51">
        <f>IF(COLUMN()-3=基本参数!$B$2,成本费用!N89*成本费用!$C$3/100,0)</f>
        <v>0</v>
      </c>
      <c r="P18" s="51">
        <f>IF(COLUMN()-3=基本参数!$B$2,成本费用!O89*成本费用!$C$3/100,0)</f>
        <v>0</v>
      </c>
      <c r="Q18" s="51">
        <f>IF(COLUMN()-3=基本参数!$B$2,成本费用!P89*成本费用!$C$3/100,0)</f>
        <v>0</v>
      </c>
      <c r="R18" s="51">
        <f>IF(COLUMN()-3=基本参数!$B$2,成本费用!Q89*成本费用!$C$3/100,0)</f>
        <v>0</v>
      </c>
      <c r="S18" s="51">
        <f>IF(COLUMN()-3=基本参数!$B$2,成本费用!R89*成本费用!$C$3/100,0)</f>
        <v>0</v>
      </c>
      <c r="T18" s="51">
        <f>IF(COLUMN()-3=基本参数!$B$2,成本费用!S89*成本费用!$C$3/100,0)</f>
        <v>0</v>
      </c>
      <c r="U18" s="51">
        <f>IF(COLUMN()-3=基本参数!$B$2,成本费用!T89*成本费用!$C$3/100,0)</f>
        <v>0</v>
      </c>
      <c r="V18" s="51">
        <f>IF(COLUMN()-3=基本参数!$B$2,成本费用!U89*成本费用!$C$3/100,0)</f>
        <v>0</v>
      </c>
      <c r="W18" s="51">
        <f>IF(COLUMN()-3=基本参数!$B$2,成本费用!V89*成本费用!$C$3/100,0)</f>
        <v>0</v>
      </c>
      <c r="X18" s="51">
        <f>IF(COLUMN()-3=基本参数!$B$2,成本费用!W89*成本费用!$C$3/100,0)</f>
        <v>0</v>
      </c>
      <c r="Y18" s="51">
        <f>IF(COLUMN()-3=基本参数!$B$2,成本费用!X89*成本费用!$C$3/100,0)</f>
        <v>0</v>
      </c>
      <c r="Z18" s="51">
        <f>IF(COLUMN()-3=基本参数!$B$2,成本费用!Y89*成本费用!$C$3/100,0)</f>
        <v>0</v>
      </c>
      <c r="AA18" s="51">
        <f>IF(COLUMN()-3=基本参数!$B$2,成本费用!Z89*成本费用!$C$3/100,0)</f>
        <v>0</v>
      </c>
      <c r="AB18" s="51">
        <f>IF(COLUMN()-3=基本参数!$B$2,成本费用!AA89*成本费用!$C$3/100,0)</f>
        <v>0</v>
      </c>
      <c r="AC18" s="51">
        <f>IF(COLUMN()-3=基本参数!$B$2,成本费用!AB89*成本费用!$C$3/100,0)</f>
        <v>0</v>
      </c>
    </row>
    <row r="19" ht="15" customHeight="1" spans="1:29">
      <c r="A19" s="97" t="s">
        <v>473</v>
      </c>
      <c r="B19" s="10" t="s">
        <v>564</v>
      </c>
      <c r="C19" s="51">
        <f t="shared" si="0"/>
        <v>0</v>
      </c>
      <c r="D19" s="51">
        <v>0</v>
      </c>
      <c r="E19" s="51">
        <f>IF(COLUMN()-3=基本参数!$B$2,投资计划与资金筹措表!$C$8,0)</f>
        <v>0</v>
      </c>
      <c r="F19" s="51">
        <f>IF(COLUMN()-3=基本参数!$B$2,投资计划与资金筹措表!$C$8,0)</f>
        <v>0</v>
      </c>
      <c r="G19" s="51">
        <f>IF(COLUMN()-3=基本参数!$B$2,投资计划与资金筹措表!$C$8,0)</f>
        <v>0</v>
      </c>
      <c r="H19" s="51">
        <f>IF(COLUMN()-3=基本参数!$B$2,投资计划与资金筹措表!$C$8,0)</f>
        <v>0</v>
      </c>
      <c r="I19" s="51">
        <f>IF(COLUMN()-3=基本参数!$B$2,投资计划与资金筹措表!$C$8,0)</f>
        <v>0</v>
      </c>
      <c r="J19" s="51">
        <f>IF(COLUMN()-3=基本参数!$B$2,投资计划与资金筹措表!$C$8,0)</f>
        <v>0</v>
      </c>
      <c r="K19" s="51">
        <f>IF(COLUMN()-3=基本参数!$B$2,投资计划与资金筹措表!$C$8,0)</f>
        <v>0</v>
      </c>
      <c r="L19" s="51">
        <f>IF(COLUMN()-3=基本参数!$B$2,投资计划与资金筹措表!$C$8,0)</f>
        <v>0</v>
      </c>
      <c r="M19" s="51">
        <f>IF(COLUMN()-3=基本参数!$B$2,投资计划与资金筹措表!$C$8,0)</f>
        <v>0</v>
      </c>
      <c r="N19" s="51">
        <f>IF(COLUMN()-3=基本参数!$B$2,投资计划与资金筹措表!$C$8,0)</f>
        <v>0</v>
      </c>
      <c r="O19" s="51">
        <f>IF(COLUMN()-3=基本参数!$B$2,投资计划与资金筹措表!$C$8,0)</f>
        <v>0</v>
      </c>
      <c r="P19" s="51">
        <f>IF(COLUMN()-3=基本参数!$B$2,投资计划与资金筹措表!$C$8,0)</f>
        <v>0</v>
      </c>
      <c r="Q19" s="51">
        <f>IF(COLUMN()-3=基本参数!$B$2,投资计划与资金筹措表!$C$8,0)</f>
        <v>0</v>
      </c>
      <c r="R19" s="51">
        <f>IF(COLUMN()-3=基本参数!$B$2,投资计划与资金筹措表!$C$8,0)</f>
        <v>0</v>
      </c>
      <c r="S19" s="51">
        <f>IF(COLUMN()-3=基本参数!$B$2,投资计划与资金筹措表!$C$8,0)</f>
        <v>0</v>
      </c>
      <c r="T19" s="51">
        <f>IF(COLUMN()-3=基本参数!$B$2,投资计划与资金筹措表!$C$8,0)</f>
        <v>0</v>
      </c>
      <c r="U19" s="51">
        <f>IF(COLUMN()-3=基本参数!$B$2,投资计划与资金筹措表!$C$8,0)</f>
        <v>0</v>
      </c>
      <c r="V19" s="51">
        <f>IF(COLUMN()-3=基本参数!$B$2,投资计划与资金筹措表!$C$8,0)</f>
        <v>0</v>
      </c>
      <c r="W19" s="51">
        <f>IF(COLUMN()-3=基本参数!$B$2,投资计划与资金筹措表!$C$8,0)</f>
        <v>0</v>
      </c>
      <c r="X19" s="51">
        <f>IF(COLUMN()-3=基本参数!$B$2,投资计划与资金筹措表!$C$8,0)</f>
        <v>0</v>
      </c>
      <c r="Y19" s="51">
        <f>IF(COLUMN()-3=基本参数!$B$2,投资计划与资金筹措表!$C$8,0)</f>
        <v>0</v>
      </c>
      <c r="Z19" s="51">
        <f>IF(COLUMN()-3=基本参数!$B$2,投资计划与资金筹措表!$C$8,0)</f>
        <v>0</v>
      </c>
      <c r="AA19" s="51">
        <f>IF(COLUMN()-3=基本参数!$B$2,投资计划与资金筹措表!$C$8,0)</f>
        <v>0</v>
      </c>
      <c r="AB19" s="51">
        <f>IF(COLUMN()-3=基本参数!$B$2,投资计划与资金筹措表!$C$8,0)</f>
        <v>0</v>
      </c>
      <c r="AC19" s="51">
        <f>IF(COLUMN()-3=基本参数!$B$2,投资计划与资金筹措表!$C$8,0)</f>
        <v>0</v>
      </c>
    </row>
    <row r="20" ht="15" customHeight="1" spans="1:29">
      <c r="A20" s="12">
        <v>2.2</v>
      </c>
      <c r="B20" s="10" t="s">
        <v>556</v>
      </c>
      <c r="C20" s="51">
        <f t="shared" si="0"/>
        <v>0</v>
      </c>
      <c r="D20" s="51">
        <f t="shared" ref="D20:AC20" si="6">D21+D22</f>
        <v>0</v>
      </c>
      <c r="E20" s="51">
        <f t="shared" si="6"/>
        <v>0</v>
      </c>
      <c r="F20" s="51">
        <f t="shared" si="6"/>
        <v>0</v>
      </c>
      <c r="G20" s="51">
        <f t="shared" si="6"/>
        <v>0</v>
      </c>
      <c r="H20" s="51">
        <f t="shared" si="6"/>
        <v>0</v>
      </c>
      <c r="I20" s="51">
        <f t="shared" si="6"/>
        <v>0</v>
      </c>
      <c r="J20" s="51">
        <f t="shared" si="6"/>
        <v>0</v>
      </c>
      <c r="K20" s="51">
        <f t="shared" si="6"/>
        <v>0</v>
      </c>
      <c r="L20" s="51">
        <f t="shared" si="6"/>
        <v>0</v>
      </c>
      <c r="M20" s="51">
        <f t="shared" si="6"/>
        <v>0</v>
      </c>
      <c r="N20" s="51">
        <f t="shared" si="6"/>
        <v>0</v>
      </c>
      <c r="O20" s="51">
        <f t="shared" si="6"/>
        <v>0</v>
      </c>
      <c r="P20" s="51">
        <f t="shared" si="6"/>
        <v>0</v>
      </c>
      <c r="Q20" s="51">
        <f t="shared" si="6"/>
        <v>0</v>
      </c>
      <c r="R20" s="51">
        <f t="shared" si="6"/>
        <v>0</v>
      </c>
      <c r="S20" s="51">
        <f t="shared" si="6"/>
        <v>0</v>
      </c>
      <c r="T20" s="51">
        <f t="shared" si="6"/>
        <v>0</v>
      </c>
      <c r="U20" s="51">
        <f t="shared" si="6"/>
        <v>0</v>
      </c>
      <c r="V20" s="51">
        <f t="shared" si="6"/>
        <v>0</v>
      </c>
      <c r="W20" s="51">
        <f t="shared" si="6"/>
        <v>0</v>
      </c>
      <c r="X20" s="51">
        <f t="shared" si="6"/>
        <v>0</v>
      </c>
      <c r="Y20" s="51">
        <f t="shared" si="6"/>
        <v>0</v>
      </c>
      <c r="Z20" s="51">
        <f t="shared" si="6"/>
        <v>0</v>
      </c>
      <c r="AA20" s="51">
        <f t="shared" si="6"/>
        <v>0</v>
      </c>
      <c r="AB20" s="51">
        <f t="shared" si="6"/>
        <v>0</v>
      </c>
      <c r="AC20" s="51">
        <f t="shared" si="6"/>
        <v>0</v>
      </c>
    </row>
    <row r="21" ht="15" customHeight="1" spans="1:29">
      <c r="A21" s="97" t="s">
        <v>476</v>
      </c>
      <c r="B21" s="10" t="s">
        <v>468</v>
      </c>
      <c r="C21" s="51">
        <f t="shared" si="0"/>
        <v>0</v>
      </c>
      <c r="D21" s="51">
        <f>投资计划与资金筹措表!D6+投资计划与资金筹措表!D7</f>
        <v>0</v>
      </c>
      <c r="E21" s="51">
        <f>投资计划与资金筹措表!E6+投资计划与资金筹措表!E7</f>
        <v>0</v>
      </c>
      <c r="F21" s="51">
        <f>投资计划与资金筹措表!F6+投资计划与资金筹措表!F7</f>
        <v>0</v>
      </c>
      <c r="G21" s="51">
        <f>投资计划与资金筹措表!G6+投资计划与资金筹措表!G7</f>
        <v>0</v>
      </c>
      <c r="H21" s="51">
        <f>投资计划与资金筹措表!H6+投资计划与资金筹措表!H7</f>
        <v>0</v>
      </c>
      <c r="I21" s="51">
        <f>投资计划与资金筹措表!I6+投资计划与资金筹措表!I7</f>
        <v>0</v>
      </c>
      <c r="J21" s="51">
        <f>投资计划与资金筹措表!J6+投资计划与资金筹措表!J7</f>
        <v>0</v>
      </c>
      <c r="K21" s="51">
        <f>投资计划与资金筹措表!K6+投资计划与资金筹措表!K7</f>
        <v>0</v>
      </c>
      <c r="L21" s="51">
        <f>投资计划与资金筹措表!L6+投资计划与资金筹措表!L7</f>
        <v>0</v>
      </c>
      <c r="M21" s="51">
        <f>投资计划与资金筹措表!M6+投资计划与资金筹措表!M7</f>
        <v>0</v>
      </c>
      <c r="N21" s="51">
        <f>投资计划与资金筹措表!N6+投资计划与资金筹措表!N7</f>
        <v>0</v>
      </c>
      <c r="O21" s="51">
        <f>投资计划与资金筹措表!O6+投资计划与资金筹措表!O7</f>
        <v>0</v>
      </c>
      <c r="P21" s="51">
        <f>投资计划与资金筹措表!P6+投资计划与资金筹措表!P7</f>
        <v>0</v>
      </c>
      <c r="Q21" s="51">
        <f>投资计划与资金筹措表!Q6+投资计划与资金筹措表!Q7</f>
        <v>0</v>
      </c>
      <c r="R21" s="51">
        <f>投资计划与资金筹措表!R6+投资计划与资金筹措表!R7</f>
        <v>0</v>
      </c>
      <c r="S21" s="51">
        <f>投资计划与资金筹措表!S6+投资计划与资金筹措表!S7</f>
        <v>0</v>
      </c>
      <c r="T21" s="51">
        <f>投资计划与资金筹措表!T6+投资计划与资金筹措表!T7</f>
        <v>0</v>
      </c>
      <c r="U21" s="51">
        <f>投资计划与资金筹措表!U6+投资计划与资金筹措表!U7</f>
        <v>0</v>
      </c>
      <c r="V21" s="51">
        <f>投资计划与资金筹措表!V6+投资计划与资金筹措表!V7</f>
        <v>0</v>
      </c>
      <c r="W21" s="51">
        <f>投资计划与资金筹措表!W6+投资计划与资金筹措表!W7</f>
        <v>0</v>
      </c>
      <c r="X21" s="51">
        <f>投资计划与资金筹措表!X6+投资计划与资金筹措表!X7</f>
        <v>0</v>
      </c>
      <c r="Y21" s="51">
        <f>投资计划与资金筹措表!Y6+投资计划与资金筹措表!Y7</f>
        <v>0</v>
      </c>
      <c r="Z21" s="51">
        <f>投资计划与资金筹措表!Z6+投资计划与资金筹措表!Z7</f>
        <v>0</v>
      </c>
      <c r="AA21" s="51">
        <f>投资计划与资金筹措表!AA6+投资计划与资金筹措表!AA7</f>
        <v>0</v>
      </c>
      <c r="AB21" s="51">
        <f>投资计划与资金筹措表!AB6+投资计划与资金筹措表!AB7</f>
        <v>0</v>
      </c>
      <c r="AC21" s="51">
        <f>投资计划与资金筹措表!AC6+投资计划与资金筹措表!AC7</f>
        <v>0</v>
      </c>
    </row>
    <row r="22" ht="15" customHeight="1" spans="1:29">
      <c r="A22" s="97" t="s">
        <v>478</v>
      </c>
      <c r="B22" s="10" t="s">
        <v>314</v>
      </c>
      <c r="C22" s="51">
        <f t="shared" si="0"/>
        <v>0</v>
      </c>
      <c r="D22" s="51">
        <f>投资计划与资金筹措表!D8</f>
        <v>0</v>
      </c>
      <c r="E22" s="51">
        <f>投资计划与资金筹措表!E8</f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</row>
    <row r="23" ht="15" customHeight="1" spans="1:29">
      <c r="A23" s="97">
        <v>3</v>
      </c>
      <c r="B23" s="10" t="s">
        <v>565</v>
      </c>
      <c r="C23" s="51" t="e">
        <f t="shared" si="0"/>
        <v>#VALUE!</v>
      </c>
      <c r="D23" s="51">
        <f t="shared" ref="D23:AC23" si="7">D24-D31</f>
        <v>0</v>
      </c>
      <c r="E23" s="51" t="e">
        <f t="shared" si="7"/>
        <v>#VALUE!</v>
      </c>
      <c r="F23" s="51" t="e">
        <f t="shared" si="7"/>
        <v>#VALUE!</v>
      </c>
      <c r="G23" s="51" t="e">
        <f t="shared" si="7"/>
        <v>#VALUE!</v>
      </c>
      <c r="H23" s="51" t="e">
        <f t="shared" si="7"/>
        <v>#VALUE!</v>
      </c>
      <c r="I23" s="51" t="e">
        <f t="shared" si="7"/>
        <v>#VALUE!</v>
      </c>
      <c r="J23" s="51" t="e">
        <f t="shared" si="7"/>
        <v>#VALUE!</v>
      </c>
      <c r="K23" s="51" t="e">
        <f t="shared" si="7"/>
        <v>#VALUE!</v>
      </c>
      <c r="L23" s="51" t="e">
        <f t="shared" si="7"/>
        <v>#VALUE!</v>
      </c>
      <c r="M23" s="51" t="e">
        <f t="shared" si="7"/>
        <v>#VALUE!</v>
      </c>
      <c r="N23" s="51" t="e">
        <f t="shared" si="7"/>
        <v>#VALUE!</v>
      </c>
      <c r="O23" s="51" t="e">
        <f t="shared" si="7"/>
        <v>#VALUE!</v>
      </c>
      <c r="P23" s="51" t="e">
        <f t="shared" si="7"/>
        <v>#VALUE!</v>
      </c>
      <c r="Q23" s="51" t="e">
        <f t="shared" si="7"/>
        <v>#VALUE!</v>
      </c>
      <c r="R23" s="51" t="e">
        <f t="shared" si="7"/>
        <v>#VALUE!</v>
      </c>
      <c r="S23" s="51" t="e">
        <f t="shared" si="7"/>
        <v>#VALUE!</v>
      </c>
      <c r="T23" s="51" t="e">
        <f t="shared" si="7"/>
        <v>#VALUE!</v>
      </c>
      <c r="U23" s="51" t="e">
        <f t="shared" si="7"/>
        <v>#VALUE!</v>
      </c>
      <c r="V23" s="51" t="e">
        <f t="shared" si="7"/>
        <v>#VALUE!</v>
      </c>
      <c r="W23" s="51" t="e">
        <f t="shared" si="7"/>
        <v>#VALUE!</v>
      </c>
      <c r="X23" s="51" t="e">
        <f t="shared" si="7"/>
        <v>#VALUE!</v>
      </c>
      <c r="Y23" s="51" t="e">
        <f t="shared" si="7"/>
        <v>#VALUE!</v>
      </c>
      <c r="Z23" s="51" t="e">
        <f t="shared" si="7"/>
        <v>#VALUE!</v>
      </c>
      <c r="AA23" s="51" t="e">
        <f t="shared" si="7"/>
        <v>#VALUE!</v>
      </c>
      <c r="AB23" s="51" t="e">
        <f t="shared" si="7"/>
        <v>#VALUE!</v>
      </c>
      <c r="AC23" s="51" t="e">
        <f t="shared" si="7"/>
        <v>#VALUE!</v>
      </c>
    </row>
    <row r="24" ht="15" customHeight="1" spans="1:29">
      <c r="A24" s="12">
        <v>3.1</v>
      </c>
      <c r="B24" s="10" t="s">
        <v>550</v>
      </c>
      <c r="C24" s="51" t="e">
        <f t="shared" si="0"/>
        <v>#VALUE!</v>
      </c>
      <c r="D24" s="51">
        <f t="shared" ref="D24:AC24" si="8">SUM(D25:D30)</f>
        <v>0</v>
      </c>
      <c r="E24" s="51" t="e">
        <f t="shared" si="8"/>
        <v>#VALUE!</v>
      </c>
      <c r="F24" s="51" t="e">
        <f t="shared" si="8"/>
        <v>#VALUE!</v>
      </c>
      <c r="G24" s="51" t="e">
        <f t="shared" si="8"/>
        <v>#VALUE!</v>
      </c>
      <c r="H24" s="51" t="e">
        <f t="shared" si="8"/>
        <v>#VALUE!</v>
      </c>
      <c r="I24" s="51" t="e">
        <f t="shared" si="8"/>
        <v>#VALUE!</v>
      </c>
      <c r="J24" s="51" t="e">
        <f t="shared" si="8"/>
        <v>#VALUE!</v>
      </c>
      <c r="K24" s="51" t="e">
        <f t="shared" si="8"/>
        <v>#VALUE!</v>
      </c>
      <c r="L24" s="51" t="e">
        <f t="shared" si="8"/>
        <v>#VALUE!</v>
      </c>
      <c r="M24" s="51" t="e">
        <f t="shared" si="8"/>
        <v>#VALUE!</v>
      </c>
      <c r="N24" s="51" t="e">
        <f t="shared" si="8"/>
        <v>#VALUE!</v>
      </c>
      <c r="O24" s="51" t="e">
        <f t="shared" si="8"/>
        <v>#VALUE!</v>
      </c>
      <c r="P24" s="51" t="e">
        <f t="shared" si="8"/>
        <v>#VALUE!</v>
      </c>
      <c r="Q24" s="51" t="e">
        <f t="shared" si="8"/>
        <v>#VALUE!</v>
      </c>
      <c r="R24" s="51" t="e">
        <f t="shared" si="8"/>
        <v>#VALUE!</v>
      </c>
      <c r="S24" s="51" t="e">
        <f t="shared" si="8"/>
        <v>#VALUE!</v>
      </c>
      <c r="T24" s="51" t="e">
        <f t="shared" si="8"/>
        <v>#VALUE!</v>
      </c>
      <c r="U24" s="51" t="e">
        <f t="shared" si="8"/>
        <v>#VALUE!</v>
      </c>
      <c r="V24" s="51" t="e">
        <f t="shared" si="8"/>
        <v>#VALUE!</v>
      </c>
      <c r="W24" s="51" t="e">
        <f t="shared" si="8"/>
        <v>#VALUE!</v>
      </c>
      <c r="X24" s="51" t="e">
        <f t="shared" si="8"/>
        <v>#VALUE!</v>
      </c>
      <c r="Y24" s="51" t="e">
        <f t="shared" si="8"/>
        <v>#VALUE!</v>
      </c>
      <c r="Z24" s="51" t="e">
        <f t="shared" si="8"/>
        <v>#VALUE!</v>
      </c>
      <c r="AA24" s="51" t="e">
        <f t="shared" si="8"/>
        <v>#VALUE!</v>
      </c>
      <c r="AB24" s="51" t="e">
        <f t="shared" si="8"/>
        <v>#VALUE!</v>
      </c>
      <c r="AC24" s="51" t="e">
        <f t="shared" si="8"/>
        <v>#VALUE!</v>
      </c>
    </row>
    <row r="25" ht="15" customHeight="1" spans="1:29">
      <c r="A25" s="97" t="s">
        <v>566</v>
      </c>
      <c r="B25" s="10" t="s">
        <v>567</v>
      </c>
      <c r="C25" s="51">
        <f t="shared" si="0"/>
        <v>0</v>
      </c>
      <c r="D25" s="51">
        <f>投资计划与资金筹措表!D10</f>
        <v>0</v>
      </c>
      <c r="E25" s="51">
        <f>投资计划与资金筹措表!E10</f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</row>
    <row r="26" ht="15" customHeight="1" spans="1:29">
      <c r="A26" s="97" t="s">
        <v>568</v>
      </c>
      <c r="B26" s="10" t="s">
        <v>569</v>
      </c>
      <c r="C26" s="51">
        <f t="shared" si="0"/>
        <v>0</v>
      </c>
      <c r="D26" s="51">
        <f>投资计划与资金筹措表!D13</f>
        <v>0</v>
      </c>
      <c r="E26" s="51">
        <f>投资计划与资金筹措表!E13</f>
        <v>0</v>
      </c>
      <c r="F26" s="51">
        <f>投资计划与资金筹措表!F13</f>
        <v>0</v>
      </c>
      <c r="G26" s="51">
        <f>投资计划与资金筹措表!G13</f>
        <v>0</v>
      </c>
      <c r="H26" s="51">
        <f>投资计划与资金筹措表!H13</f>
        <v>0</v>
      </c>
      <c r="I26" s="51">
        <f>投资计划与资金筹措表!I13</f>
        <v>0</v>
      </c>
      <c r="J26" s="51">
        <f>投资计划与资金筹措表!J13</f>
        <v>0</v>
      </c>
      <c r="K26" s="51">
        <f>投资计划与资金筹措表!K13</f>
        <v>0</v>
      </c>
      <c r="L26" s="51">
        <f>投资计划与资金筹措表!L13</f>
        <v>0</v>
      </c>
      <c r="M26" s="51">
        <f>投资计划与资金筹措表!M13</f>
        <v>0</v>
      </c>
      <c r="N26" s="51">
        <f>投资计划与资金筹措表!N13</f>
        <v>0</v>
      </c>
      <c r="O26" s="51">
        <f>投资计划与资金筹措表!O13</f>
        <v>0</v>
      </c>
      <c r="P26" s="51">
        <f>投资计划与资金筹措表!P13</f>
        <v>0</v>
      </c>
      <c r="Q26" s="51">
        <f>投资计划与资金筹措表!Q13</f>
        <v>0</v>
      </c>
      <c r="R26" s="51">
        <f>投资计划与资金筹措表!R13</f>
        <v>0</v>
      </c>
      <c r="S26" s="51">
        <f>投资计划与资金筹措表!S13</f>
        <v>0</v>
      </c>
      <c r="T26" s="51">
        <f>投资计划与资金筹措表!T13</f>
        <v>0</v>
      </c>
      <c r="U26" s="51">
        <f>投资计划与资金筹措表!U13</f>
        <v>0</v>
      </c>
      <c r="V26" s="51">
        <f>投资计划与资金筹措表!V13</f>
        <v>0</v>
      </c>
      <c r="W26" s="51">
        <f>投资计划与资金筹措表!W13</f>
        <v>0</v>
      </c>
      <c r="X26" s="51">
        <f>投资计划与资金筹措表!X13</f>
        <v>0</v>
      </c>
      <c r="Y26" s="51">
        <f>投资计划与资金筹措表!Y13</f>
        <v>0</v>
      </c>
      <c r="Z26" s="51">
        <f>投资计划与资金筹措表!Z13</f>
        <v>0</v>
      </c>
      <c r="AA26" s="51">
        <f>投资计划与资金筹措表!AA13</f>
        <v>0</v>
      </c>
      <c r="AB26" s="51">
        <f>投资计划与资金筹措表!AB13</f>
        <v>0</v>
      </c>
      <c r="AC26" s="51">
        <f>投资计划与资金筹措表!AC13</f>
        <v>0</v>
      </c>
    </row>
    <row r="27" ht="15" customHeight="1" spans="1:29">
      <c r="A27" s="97" t="s">
        <v>570</v>
      </c>
      <c r="B27" s="10" t="s">
        <v>479</v>
      </c>
      <c r="C27" s="51">
        <f t="shared" si="0"/>
        <v>0</v>
      </c>
      <c r="D27" s="51">
        <f>投资计划与资金筹措表!D17</f>
        <v>0</v>
      </c>
      <c r="E27" s="51">
        <f>投资计划与资金筹措表!E17</f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</row>
    <row r="28" ht="15" customHeight="1" spans="1:29">
      <c r="A28" s="97" t="s">
        <v>571</v>
      </c>
      <c r="B28" s="10" t="s">
        <v>572</v>
      </c>
      <c r="C28" s="51">
        <f t="shared" si="0"/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</row>
    <row r="29" ht="15" customHeight="1" spans="1:29">
      <c r="A29" s="97" t="s">
        <v>573</v>
      </c>
      <c r="B29" s="10" t="s">
        <v>574</v>
      </c>
      <c r="C29" s="51" t="e">
        <f t="shared" si="0"/>
        <v>#VALUE!</v>
      </c>
      <c r="D29" s="51">
        <f>借款还本付息计划表!D17</f>
        <v>0</v>
      </c>
      <c r="E29" s="51" t="e">
        <f>借款还本付息计划表!E17</f>
        <v>#VALUE!</v>
      </c>
      <c r="F29" s="51" t="e">
        <f>借款还本付息计划表!F17</f>
        <v>#VALUE!</v>
      </c>
      <c r="G29" s="51" t="e">
        <f>借款还本付息计划表!G17</f>
        <v>#VALUE!</v>
      </c>
      <c r="H29" s="51" t="e">
        <f>借款还本付息计划表!H17</f>
        <v>#VALUE!</v>
      </c>
      <c r="I29" s="51" t="e">
        <f>借款还本付息计划表!I17</f>
        <v>#VALUE!</v>
      </c>
      <c r="J29" s="51" t="e">
        <f>借款还本付息计划表!J17</f>
        <v>#VALUE!</v>
      </c>
      <c r="K29" s="51" t="e">
        <f>借款还本付息计划表!K17</f>
        <v>#VALUE!</v>
      </c>
      <c r="L29" s="51" t="e">
        <f>借款还本付息计划表!L17</f>
        <v>#VALUE!</v>
      </c>
      <c r="M29" s="51" t="e">
        <f>借款还本付息计划表!M17</f>
        <v>#VALUE!</v>
      </c>
      <c r="N29" s="51" t="e">
        <f>借款还本付息计划表!N17</f>
        <v>#VALUE!</v>
      </c>
      <c r="O29" s="51" t="e">
        <f>借款还本付息计划表!O17</f>
        <v>#VALUE!</v>
      </c>
      <c r="P29" s="51" t="e">
        <f>借款还本付息计划表!P17</f>
        <v>#VALUE!</v>
      </c>
      <c r="Q29" s="51" t="e">
        <f>借款还本付息计划表!Q17</f>
        <v>#VALUE!</v>
      </c>
      <c r="R29" s="51" t="e">
        <f>借款还本付息计划表!R17</f>
        <v>#VALUE!</v>
      </c>
      <c r="S29" s="51" t="e">
        <f>借款还本付息计划表!S17</f>
        <v>#VALUE!</v>
      </c>
      <c r="T29" s="51" t="e">
        <f>借款还本付息计划表!T17</f>
        <v>#VALUE!</v>
      </c>
      <c r="U29" s="51" t="e">
        <f>借款还本付息计划表!U17</f>
        <v>#VALUE!</v>
      </c>
      <c r="V29" s="51" t="e">
        <f>借款还本付息计划表!V17</f>
        <v>#VALUE!</v>
      </c>
      <c r="W29" s="51" t="e">
        <f>借款还本付息计划表!W17</f>
        <v>#VALUE!</v>
      </c>
      <c r="X29" s="51" t="e">
        <f>借款还本付息计划表!X17</f>
        <v>#VALUE!</v>
      </c>
      <c r="Y29" s="51" t="e">
        <f>借款还本付息计划表!Y17</f>
        <v>#VALUE!</v>
      </c>
      <c r="Z29" s="51" t="e">
        <f>借款还本付息计划表!Z17</f>
        <v>#VALUE!</v>
      </c>
      <c r="AA29" s="51" t="e">
        <f>借款还本付息计划表!AA17</f>
        <v>#VALUE!</v>
      </c>
      <c r="AB29" s="51" t="e">
        <f>借款还本付息计划表!AB17</f>
        <v>#VALUE!</v>
      </c>
      <c r="AC29" s="51" t="e">
        <f>借款还本付息计划表!AC17</f>
        <v>#VALUE!</v>
      </c>
    </row>
    <row r="30" ht="15" customHeight="1" spans="1:29">
      <c r="A30" s="97" t="s">
        <v>575</v>
      </c>
      <c r="B30" s="10" t="s">
        <v>576</v>
      </c>
      <c r="C30" s="51">
        <f t="shared" si="0"/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</row>
    <row r="31" ht="15" customHeight="1" spans="1:29">
      <c r="A31" s="12">
        <v>3.2</v>
      </c>
      <c r="B31" s="10" t="s">
        <v>556</v>
      </c>
      <c r="C31" s="51" t="e">
        <f t="shared" si="0"/>
        <v>#VALUE!</v>
      </c>
      <c r="D31" s="51">
        <f t="shared" ref="D31:AC31" si="9">SUM(D32:D35)</f>
        <v>0</v>
      </c>
      <c r="E31" s="51" t="e">
        <f t="shared" si="9"/>
        <v>#VALUE!</v>
      </c>
      <c r="F31" s="51" t="e">
        <f t="shared" si="9"/>
        <v>#VALUE!</v>
      </c>
      <c r="G31" s="51" t="e">
        <f t="shared" si="9"/>
        <v>#VALUE!</v>
      </c>
      <c r="H31" s="51" t="e">
        <f t="shared" si="9"/>
        <v>#VALUE!</v>
      </c>
      <c r="I31" s="51" t="e">
        <f t="shared" si="9"/>
        <v>#VALUE!</v>
      </c>
      <c r="J31" s="51" t="e">
        <f t="shared" si="9"/>
        <v>#VALUE!</v>
      </c>
      <c r="K31" s="51" t="e">
        <f t="shared" si="9"/>
        <v>#VALUE!</v>
      </c>
      <c r="L31" s="51" t="e">
        <f t="shared" si="9"/>
        <v>#VALUE!</v>
      </c>
      <c r="M31" s="51" t="e">
        <f t="shared" si="9"/>
        <v>#VALUE!</v>
      </c>
      <c r="N31" s="51" t="e">
        <f t="shared" si="9"/>
        <v>#VALUE!</v>
      </c>
      <c r="O31" s="51" t="e">
        <f t="shared" si="9"/>
        <v>#VALUE!</v>
      </c>
      <c r="P31" s="51" t="e">
        <f t="shared" si="9"/>
        <v>#VALUE!</v>
      </c>
      <c r="Q31" s="51" t="e">
        <f t="shared" si="9"/>
        <v>#VALUE!</v>
      </c>
      <c r="R31" s="51" t="e">
        <f t="shared" si="9"/>
        <v>#VALUE!</v>
      </c>
      <c r="S31" s="51" t="e">
        <f t="shared" si="9"/>
        <v>#VALUE!</v>
      </c>
      <c r="T31" s="51" t="e">
        <f t="shared" si="9"/>
        <v>#VALUE!</v>
      </c>
      <c r="U31" s="51" t="e">
        <f t="shared" si="9"/>
        <v>#VALUE!</v>
      </c>
      <c r="V31" s="51" t="e">
        <f t="shared" si="9"/>
        <v>#VALUE!</v>
      </c>
      <c r="W31" s="51" t="e">
        <f t="shared" si="9"/>
        <v>#VALUE!</v>
      </c>
      <c r="X31" s="51" t="e">
        <f t="shared" si="9"/>
        <v>#VALUE!</v>
      </c>
      <c r="Y31" s="51" t="e">
        <f t="shared" si="9"/>
        <v>#VALUE!</v>
      </c>
      <c r="Z31" s="51" t="e">
        <f t="shared" si="9"/>
        <v>#VALUE!</v>
      </c>
      <c r="AA31" s="51" t="e">
        <f t="shared" si="9"/>
        <v>#VALUE!</v>
      </c>
      <c r="AB31" s="51" t="e">
        <f t="shared" si="9"/>
        <v>#VALUE!</v>
      </c>
      <c r="AC31" s="51" t="e">
        <f t="shared" si="9"/>
        <v>#VALUE!</v>
      </c>
    </row>
    <row r="32" ht="15" customHeight="1" spans="1:29">
      <c r="A32" s="97" t="s">
        <v>577</v>
      </c>
      <c r="B32" s="10" t="s">
        <v>578</v>
      </c>
      <c r="C32" s="51" t="e">
        <f t="shared" si="0"/>
        <v>#VALUE!</v>
      </c>
      <c r="D32" s="51">
        <f>总成本费用表!D12</f>
        <v>0</v>
      </c>
      <c r="E32" s="51">
        <f>总成本费用表!E12</f>
        <v>0</v>
      </c>
      <c r="F32" s="51" t="e">
        <f>总成本费用表!F12</f>
        <v>#VALUE!</v>
      </c>
      <c r="G32" s="51" t="e">
        <f>总成本费用表!G12</f>
        <v>#VALUE!</v>
      </c>
      <c r="H32" s="51" t="e">
        <f>总成本费用表!H12</f>
        <v>#VALUE!</v>
      </c>
      <c r="I32" s="51" t="e">
        <f>总成本费用表!I12</f>
        <v>#VALUE!</v>
      </c>
      <c r="J32" s="51" t="e">
        <f>总成本费用表!J12</f>
        <v>#VALUE!</v>
      </c>
      <c r="K32" s="51" t="e">
        <f>总成本费用表!K12</f>
        <v>#VALUE!</v>
      </c>
      <c r="L32" s="51" t="e">
        <f>总成本费用表!L12</f>
        <v>#VALUE!</v>
      </c>
      <c r="M32" s="51" t="e">
        <f>总成本费用表!M12</f>
        <v>#VALUE!</v>
      </c>
      <c r="N32" s="51" t="e">
        <f>总成本费用表!N12</f>
        <v>#VALUE!</v>
      </c>
      <c r="O32" s="51" t="e">
        <f>总成本费用表!O12</f>
        <v>#VALUE!</v>
      </c>
      <c r="P32" s="51" t="e">
        <f>总成本费用表!P12</f>
        <v>#VALUE!</v>
      </c>
      <c r="Q32" s="51" t="e">
        <f>总成本费用表!Q12</f>
        <v>#VALUE!</v>
      </c>
      <c r="R32" s="51" t="e">
        <f>总成本费用表!R12</f>
        <v>#VALUE!</v>
      </c>
      <c r="S32" s="51" t="e">
        <f>总成本费用表!S12</f>
        <v>#VALUE!</v>
      </c>
      <c r="T32" s="51" t="e">
        <f>总成本费用表!T12</f>
        <v>#VALUE!</v>
      </c>
      <c r="U32" s="51" t="e">
        <f>总成本费用表!U12</f>
        <v>#VALUE!</v>
      </c>
      <c r="V32" s="51" t="e">
        <f>总成本费用表!V12</f>
        <v>#VALUE!</v>
      </c>
      <c r="W32" s="51" t="e">
        <f>总成本费用表!W12</f>
        <v>#VALUE!</v>
      </c>
      <c r="X32" s="51" t="e">
        <f>总成本费用表!X12</f>
        <v>#VALUE!</v>
      </c>
      <c r="Y32" s="51" t="e">
        <f>总成本费用表!Y12</f>
        <v>#VALUE!</v>
      </c>
      <c r="Z32" s="51" t="e">
        <f>总成本费用表!Z12</f>
        <v>#VALUE!</v>
      </c>
      <c r="AA32" s="51" t="e">
        <f>总成本费用表!AA12</f>
        <v>#VALUE!</v>
      </c>
      <c r="AB32" s="51" t="e">
        <f>总成本费用表!AB12</f>
        <v>#VALUE!</v>
      </c>
      <c r="AC32" s="51" t="e">
        <f>总成本费用表!AC12</f>
        <v>#VALUE!</v>
      </c>
    </row>
    <row r="33" ht="15" customHeight="1" spans="1:29">
      <c r="A33" s="97" t="s">
        <v>579</v>
      </c>
      <c r="B33" s="10" t="s">
        <v>580</v>
      </c>
      <c r="C33" s="51" t="e">
        <f t="shared" si="0"/>
        <v>#VALUE!</v>
      </c>
      <c r="D33" s="51">
        <f>借款还本付息计划表!D8+借款还本付息计划表!D14+借款还本付息计划表!D18</f>
        <v>0</v>
      </c>
      <c r="E33" s="51" t="e">
        <f>借款还本付息计划表!E8+借款还本付息计划表!E14+借款还本付息计划表!E18</f>
        <v>#VALUE!</v>
      </c>
      <c r="F33" s="51" t="e">
        <f>借款还本付息计划表!F8+借款还本付息计划表!F14+借款还本付息计划表!F18</f>
        <v>#VALUE!</v>
      </c>
      <c r="G33" s="51" t="e">
        <f>借款还本付息计划表!G8+借款还本付息计划表!G14+借款还本付息计划表!G18</f>
        <v>#VALUE!</v>
      </c>
      <c r="H33" s="51" t="e">
        <f>借款还本付息计划表!H8+借款还本付息计划表!H14+借款还本付息计划表!H18</f>
        <v>#VALUE!</v>
      </c>
      <c r="I33" s="51" t="e">
        <f>借款还本付息计划表!I8+借款还本付息计划表!I14+借款还本付息计划表!I18</f>
        <v>#VALUE!</v>
      </c>
      <c r="J33" s="51" t="e">
        <f>借款还本付息计划表!J8+借款还本付息计划表!J14+借款还本付息计划表!J18</f>
        <v>#VALUE!</v>
      </c>
      <c r="K33" s="51" t="e">
        <f>借款还本付息计划表!K8+借款还本付息计划表!K14+借款还本付息计划表!K18</f>
        <v>#VALUE!</v>
      </c>
      <c r="L33" s="51" t="e">
        <f>借款还本付息计划表!L8+借款还本付息计划表!L14+借款还本付息计划表!L18</f>
        <v>#VALUE!</v>
      </c>
      <c r="M33" s="51" t="e">
        <f>借款还本付息计划表!M8+借款还本付息计划表!M14+借款还本付息计划表!M18</f>
        <v>#VALUE!</v>
      </c>
      <c r="N33" s="51" t="e">
        <f>借款还本付息计划表!N8+借款还本付息计划表!N14+借款还本付息计划表!N18</f>
        <v>#VALUE!</v>
      </c>
      <c r="O33" s="51" t="e">
        <f>借款还本付息计划表!O8+借款还本付息计划表!O14+借款还本付息计划表!O18</f>
        <v>#VALUE!</v>
      </c>
      <c r="P33" s="51" t="e">
        <f>借款还本付息计划表!P8+借款还本付息计划表!P14+借款还本付息计划表!P18</f>
        <v>#VALUE!</v>
      </c>
      <c r="Q33" s="51" t="e">
        <f>借款还本付息计划表!Q8+借款还本付息计划表!Q14+借款还本付息计划表!Q18</f>
        <v>#VALUE!</v>
      </c>
      <c r="R33" s="51" t="e">
        <f>借款还本付息计划表!R8+借款还本付息计划表!R14+借款还本付息计划表!R18</f>
        <v>#VALUE!</v>
      </c>
      <c r="S33" s="51" t="e">
        <f>借款还本付息计划表!S8+借款还本付息计划表!S14+借款还本付息计划表!S18</f>
        <v>#VALUE!</v>
      </c>
      <c r="T33" s="51" t="e">
        <f>借款还本付息计划表!T8+借款还本付息计划表!T14+借款还本付息计划表!T18</f>
        <v>#VALUE!</v>
      </c>
      <c r="U33" s="51" t="e">
        <f>借款还本付息计划表!U8+借款还本付息计划表!U14+借款还本付息计划表!U18</f>
        <v>#VALUE!</v>
      </c>
      <c r="V33" s="51" t="e">
        <f>借款还本付息计划表!V8+借款还本付息计划表!V14+借款还本付息计划表!V18</f>
        <v>#VALUE!</v>
      </c>
      <c r="W33" s="51" t="e">
        <f>借款还本付息计划表!W8+借款还本付息计划表!W14+借款还本付息计划表!W18</f>
        <v>#VALUE!</v>
      </c>
      <c r="X33" s="51" t="e">
        <f>借款还本付息计划表!X8+借款还本付息计划表!X14+借款还本付息计划表!X18</f>
        <v>#VALUE!</v>
      </c>
      <c r="Y33" s="51" t="e">
        <f>借款还本付息计划表!Y8+借款还本付息计划表!Y14+借款还本付息计划表!Y18</f>
        <v>#VALUE!</v>
      </c>
      <c r="Z33" s="51" t="e">
        <f>借款还本付息计划表!Z8+借款还本付息计划表!Z14+借款还本付息计划表!Z18</f>
        <v>#VALUE!</v>
      </c>
      <c r="AA33" s="51" t="e">
        <f>借款还本付息计划表!AA8+借款还本付息计划表!AA14+借款还本付息计划表!AA18</f>
        <v>#VALUE!</v>
      </c>
      <c r="AB33" s="51" t="e">
        <f>借款还本付息计划表!AB8+借款还本付息计划表!AB14+借款还本付息计划表!AB18</f>
        <v>#VALUE!</v>
      </c>
      <c r="AC33" s="51" t="e">
        <f>借款还本付息计划表!AC8+借款还本付息计划表!AC14+借款还本付息计划表!AC18</f>
        <v>#VALUE!</v>
      </c>
    </row>
    <row r="34" ht="15" customHeight="1" spans="1:29">
      <c r="A34" s="97" t="s">
        <v>581</v>
      </c>
      <c r="B34" s="10" t="s">
        <v>527</v>
      </c>
      <c r="C34" s="51" t="e">
        <f t="shared" si="0"/>
        <v>#VALUE!</v>
      </c>
      <c r="D34" s="51">
        <f>利润与利润分配表!D27</f>
        <v>0</v>
      </c>
      <c r="E34" s="51" t="e">
        <f>利润与利润分配表!E27</f>
        <v>#VALUE!</v>
      </c>
      <c r="F34" s="51" t="e">
        <f>利润与利润分配表!F27</f>
        <v>#VALUE!</v>
      </c>
      <c r="G34" s="51" t="e">
        <f>利润与利润分配表!G27</f>
        <v>#VALUE!</v>
      </c>
      <c r="H34" s="51" t="e">
        <f>利润与利润分配表!H27</f>
        <v>#VALUE!</v>
      </c>
      <c r="I34" s="51" t="e">
        <f>利润与利润分配表!I27</f>
        <v>#VALUE!</v>
      </c>
      <c r="J34" s="51" t="e">
        <f>利润与利润分配表!J27</f>
        <v>#VALUE!</v>
      </c>
      <c r="K34" s="51" t="e">
        <f>利润与利润分配表!K27</f>
        <v>#VALUE!</v>
      </c>
      <c r="L34" s="51" t="e">
        <f>利润与利润分配表!L27</f>
        <v>#VALUE!</v>
      </c>
      <c r="M34" s="51" t="e">
        <f>利润与利润分配表!M27</f>
        <v>#VALUE!</v>
      </c>
      <c r="N34" s="51" t="e">
        <f>利润与利润分配表!N27</f>
        <v>#VALUE!</v>
      </c>
      <c r="O34" s="51" t="e">
        <f>利润与利润分配表!O27</f>
        <v>#VALUE!</v>
      </c>
      <c r="P34" s="51" t="e">
        <f>利润与利润分配表!P27</f>
        <v>#VALUE!</v>
      </c>
      <c r="Q34" s="51" t="e">
        <f>利润与利润分配表!Q27</f>
        <v>#VALUE!</v>
      </c>
      <c r="R34" s="51" t="e">
        <f>利润与利润分配表!R27</f>
        <v>#VALUE!</v>
      </c>
      <c r="S34" s="51" t="e">
        <f>利润与利润分配表!S27</f>
        <v>#VALUE!</v>
      </c>
      <c r="T34" s="51" t="e">
        <f>利润与利润分配表!T27</f>
        <v>#VALUE!</v>
      </c>
      <c r="U34" s="51" t="e">
        <f>利润与利润分配表!U27</f>
        <v>#VALUE!</v>
      </c>
      <c r="V34" s="51" t="e">
        <f>利润与利润分配表!V27</f>
        <v>#VALUE!</v>
      </c>
      <c r="W34" s="51" t="e">
        <f>利润与利润分配表!W27</f>
        <v>#VALUE!</v>
      </c>
      <c r="X34" s="51" t="e">
        <f>利润与利润分配表!X27</f>
        <v>#VALUE!</v>
      </c>
      <c r="Y34" s="51" t="e">
        <f>利润与利润分配表!Y27</f>
        <v>#VALUE!</v>
      </c>
      <c r="Z34" s="51" t="e">
        <f>利润与利润分配表!Z27</f>
        <v>#VALUE!</v>
      </c>
      <c r="AA34" s="51" t="e">
        <f>利润与利润分配表!AA27</f>
        <v>#VALUE!</v>
      </c>
      <c r="AB34" s="51" t="e">
        <f>利润与利润分配表!AB27</f>
        <v>#VALUE!</v>
      </c>
      <c r="AC34" s="51" t="e">
        <f>利润与利润分配表!AC27</f>
        <v>#VALUE!</v>
      </c>
    </row>
    <row r="35" ht="15" customHeight="1" spans="1:29">
      <c r="A35" s="97" t="s">
        <v>582</v>
      </c>
      <c r="B35" s="10" t="s">
        <v>583</v>
      </c>
      <c r="C35" s="51">
        <f t="shared" si="0"/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</row>
    <row r="36" ht="15" customHeight="1" spans="1:29">
      <c r="A36" s="97">
        <v>4</v>
      </c>
      <c r="B36" s="10" t="s">
        <v>584</v>
      </c>
      <c r="C36" s="51" t="e">
        <f t="shared" si="0"/>
        <v>#VALUE!</v>
      </c>
      <c r="D36" s="51">
        <f t="shared" ref="D36:AC36" si="10">D5+D16+D23</f>
        <v>0</v>
      </c>
      <c r="E36" s="51" t="e">
        <f t="shared" si="10"/>
        <v>#VALUE!</v>
      </c>
      <c r="F36" s="51" t="e">
        <f t="shared" si="10"/>
        <v>#VALUE!</v>
      </c>
      <c r="G36" s="51" t="e">
        <f t="shared" si="10"/>
        <v>#VALUE!</v>
      </c>
      <c r="H36" s="51" t="e">
        <f t="shared" si="10"/>
        <v>#VALUE!</v>
      </c>
      <c r="I36" s="51" t="e">
        <f t="shared" si="10"/>
        <v>#VALUE!</v>
      </c>
      <c r="J36" s="51" t="e">
        <f t="shared" si="10"/>
        <v>#VALUE!</v>
      </c>
      <c r="K36" s="51" t="e">
        <f t="shared" si="10"/>
        <v>#VALUE!</v>
      </c>
      <c r="L36" s="51" t="e">
        <f t="shared" si="10"/>
        <v>#VALUE!</v>
      </c>
      <c r="M36" s="51" t="e">
        <f t="shared" si="10"/>
        <v>#VALUE!</v>
      </c>
      <c r="N36" s="51" t="e">
        <f t="shared" si="10"/>
        <v>#VALUE!</v>
      </c>
      <c r="O36" s="51" t="e">
        <f t="shared" si="10"/>
        <v>#VALUE!</v>
      </c>
      <c r="P36" s="51" t="e">
        <f t="shared" si="10"/>
        <v>#VALUE!</v>
      </c>
      <c r="Q36" s="51" t="e">
        <f t="shared" si="10"/>
        <v>#VALUE!</v>
      </c>
      <c r="R36" s="51" t="e">
        <f t="shared" si="10"/>
        <v>#VALUE!</v>
      </c>
      <c r="S36" s="51" t="e">
        <f t="shared" si="10"/>
        <v>#VALUE!</v>
      </c>
      <c r="T36" s="51" t="e">
        <f t="shared" si="10"/>
        <v>#VALUE!</v>
      </c>
      <c r="U36" s="51" t="e">
        <f t="shared" si="10"/>
        <v>#VALUE!</v>
      </c>
      <c r="V36" s="51" t="e">
        <f t="shared" si="10"/>
        <v>#VALUE!</v>
      </c>
      <c r="W36" s="51" t="e">
        <f t="shared" si="10"/>
        <v>#VALUE!</v>
      </c>
      <c r="X36" s="51" t="e">
        <f t="shared" si="10"/>
        <v>#VALUE!</v>
      </c>
      <c r="Y36" s="51" t="e">
        <f t="shared" si="10"/>
        <v>#VALUE!</v>
      </c>
      <c r="Z36" s="51" t="e">
        <f t="shared" si="10"/>
        <v>#VALUE!</v>
      </c>
      <c r="AA36" s="51" t="e">
        <f t="shared" si="10"/>
        <v>#VALUE!</v>
      </c>
      <c r="AB36" s="51" t="e">
        <f t="shared" si="10"/>
        <v>#VALUE!</v>
      </c>
      <c r="AC36" s="51" t="e">
        <f t="shared" si="10"/>
        <v>#VALUE!</v>
      </c>
    </row>
    <row r="37" ht="15" customHeight="1" spans="1:29">
      <c r="A37" s="97">
        <v>5</v>
      </c>
      <c r="B37" s="10" t="s">
        <v>508</v>
      </c>
      <c r="C37" s="51"/>
      <c r="D37" s="51">
        <f t="shared" ref="D37:AC37" si="11">C37+D36</f>
        <v>0</v>
      </c>
      <c r="E37" s="51" t="e">
        <f t="shared" si="11"/>
        <v>#VALUE!</v>
      </c>
      <c r="F37" s="51" t="e">
        <f t="shared" si="11"/>
        <v>#VALUE!</v>
      </c>
      <c r="G37" s="51" t="e">
        <f t="shared" si="11"/>
        <v>#VALUE!</v>
      </c>
      <c r="H37" s="51" t="e">
        <f t="shared" si="11"/>
        <v>#VALUE!</v>
      </c>
      <c r="I37" s="51" t="e">
        <f t="shared" si="11"/>
        <v>#VALUE!</v>
      </c>
      <c r="J37" s="51" t="e">
        <f t="shared" si="11"/>
        <v>#VALUE!</v>
      </c>
      <c r="K37" s="51" t="e">
        <f t="shared" si="11"/>
        <v>#VALUE!</v>
      </c>
      <c r="L37" s="51" t="e">
        <f t="shared" si="11"/>
        <v>#VALUE!</v>
      </c>
      <c r="M37" s="51" t="e">
        <f t="shared" si="11"/>
        <v>#VALUE!</v>
      </c>
      <c r="N37" s="51" t="e">
        <f t="shared" si="11"/>
        <v>#VALUE!</v>
      </c>
      <c r="O37" s="51" t="e">
        <f t="shared" si="11"/>
        <v>#VALUE!</v>
      </c>
      <c r="P37" s="51" t="e">
        <f t="shared" si="11"/>
        <v>#VALUE!</v>
      </c>
      <c r="Q37" s="51" t="e">
        <f t="shared" si="11"/>
        <v>#VALUE!</v>
      </c>
      <c r="R37" s="51" t="e">
        <f t="shared" si="11"/>
        <v>#VALUE!</v>
      </c>
      <c r="S37" s="51" t="e">
        <f t="shared" si="11"/>
        <v>#VALUE!</v>
      </c>
      <c r="T37" s="51" t="e">
        <f t="shared" si="11"/>
        <v>#VALUE!</v>
      </c>
      <c r="U37" s="51" t="e">
        <f t="shared" si="11"/>
        <v>#VALUE!</v>
      </c>
      <c r="V37" s="51" t="e">
        <f t="shared" si="11"/>
        <v>#VALUE!</v>
      </c>
      <c r="W37" s="51" t="e">
        <f t="shared" si="11"/>
        <v>#VALUE!</v>
      </c>
      <c r="X37" s="51" t="e">
        <f t="shared" si="11"/>
        <v>#VALUE!</v>
      </c>
      <c r="Y37" s="51" t="e">
        <f t="shared" si="11"/>
        <v>#VALUE!</v>
      </c>
      <c r="Z37" s="51" t="e">
        <f t="shared" si="11"/>
        <v>#VALUE!</v>
      </c>
      <c r="AA37" s="51" t="e">
        <f t="shared" si="11"/>
        <v>#VALUE!</v>
      </c>
      <c r="AB37" s="51" t="e">
        <f t="shared" si="11"/>
        <v>#VALUE!</v>
      </c>
      <c r="AC37" s="51" t="e">
        <f t="shared" si="11"/>
        <v>#VALUE!</v>
      </c>
    </row>
    <row r="38" ht="17.25" hidden="1" customHeight="1" spans="1:29">
      <c r="A38" s="98" t="s">
        <v>507</v>
      </c>
      <c r="B38" s="10" t="s">
        <v>585</v>
      </c>
      <c r="C38" s="51"/>
      <c r="D38" s="51">
        <f>借款还本付息计划表!D9+借款还本付息计划表!D8+借款还本付息计划表!D19+借款还本付息计划表!D13</f>
        <v>0</v>
      </c>
      <c r="E38" s="51">
        <f>借款还本付息计划表!E9+借款还本付息计划表!E8+借款还本付息计划表!E19+借款还本付息计划表!E13</f>
        <v>0</v>
      </c>
      <c r="F38" s="51" t="e">
        <f>借款还本付息计划表!F9+借款还本付息计划表!F8+借款还本付息计划表!F19+借款还本付息计划表!F13</f>
        <v>#VALUE!</v>
      </c>
      <c r="G38" s="51" t="e">
        <f>借款还本付息计划表!G9+借款还本付息计划表!G8+借款还本付息计划表!G19+借款还本付息计划表!G13</f>
        <v>#VALUE!</v>
      </c>
      <c r="H38" s="51" t="e">
        <f>借款还本付息计划表!H9+借款还本付息计划表!H8+借款还本付息计划表!H19+借款还本付息计划表!H13</f>
        <v>#VALUE!</v>
      </c>
      <c r="I38" s="51" t="e">
        <f>借款还本付息计划表!I9+借款还本付息计划表!I8+借款还本付息计划表!I19+借款还本付息计划表!I13</f>
        <v>#VALUE!</v>
      </c>
      <c r="J38" s="51" t="e">
        <f>借款还本付息计划表!J9+借款还本付息计划表!J8+借款还本付息计划表!J19+借款还本付息计划表!J13</f>
        <v>#VALUE!</v>
      </c>
      <c r="K38" s="51" t="e">
        <f>借款还本付息计划表!K9+借款还本付息计划表!K8+借款还本付息计划表!K19+借款还本付息计划表!K13</f>
        <v>#VALUE!</v>
      </c>
      <c r="L38" s="51" t="e">
        <f>借款还本付息计划表!L9+借款还本付息计划表!L8+借款还本付息计划表!L19+借款还本付息计划表!L13</f>
        <v>#VALUE!</v>
      </c>
      <c r="M38" s="51" t="e">
        <f>借款还本付息计划表!M9+借款还本付息计划表!M8+借款还本付息计划表!M19+借款还本付息计划表!M13</f>
        <v>#VALUE!</v>
      </c>
      <c r="N38" s="51" t="e">
        <f>借款还本付息计划表!N9+借款还本付息计划表!N8+借款还本付息计划表!N19+借款还本付息计划表!N13</f>
        <v>#VALUE!</v>
      </c>
      <c r="O38" s="51" t="e">
        <f>借款还本付息计划表!O9+借款还本付息计划表!O8+借款还本付息计划表!O19+借款还本付息计划表!O13</f>
        <v>#VALUE!</v>
      </c>
      <c r="P38" s="51" t="e">
        <f>借款还本付息计划表!P9+借款还本付息计划表!P8+借款还本付息计划表!P19+借款还本付息计划表!P13</f>
        <v>#VALUE!</v>
      </c>
      <c r="Q38" s="51" t="e">
        <f>借款还本付息计划表!Q9+借款还本付息计划表!Q8+借款还本付息计划表!Q19+借款还本付息计划表!Q13</f>
        <v>#VALUE!</v>
      </c>
      <c r="R38" s="51" t="e">
        <f>借款还本付息计划表!R9+借款还本付息计划表!R8+借款还本付息计划表!R19+借款还本付息计划表!R13</f>
        <v>#VALUE!</v>
      </c>
      <c r="S38" s="51" t="e">
        <f>借款还本付息计划表!S9+借款还本付息计划表!S8+借款还本付息计划表!S19+借款还本付息计划表!S13</f>
        <v>#VALUE!</v>
      </c>
      <c r="T38" s="51" t="e">
        <f>借款还本付息计划表!T9+借款还本付息计划表!T8+借款还本付息计划表!T19+借款还本付息计划表!T13</f>
        <v>#VALUE!</v>
      </c>
      <c r="U38" s="51" t="e">
        <f>借款还本付息计划表!U9+借款还本付息计划表!U8+借款还本付息计划表!U19+借款还本付息计划表!U13</f>
        <v>#VALUE!</v>
      </c>
      <c r="V38" s="51" t="e">
        <f>借款还本付息计划表!V9+借款还本付息计划表!V8+借款还本付息计划表!V19+借款还本付息计划表!V13</f>
        <v>#VALUE!</v>
      </c>
      <c r="W38" s="51" t="e">
        <f>借款还本付息计划表!W9+借款还本付息计划表!W8+借款还本付息计划表!W19+借款还本付息计划表!W13</f>
        <v>#VALUE!</v>
      </c>
      <c r="X38" s="51" t="e">
        <f>借款还本付息计划表!X9+借款还本付息计划表!X8+借款还本付息计划表!X19+借款还本付息计划表!X13</f>
        <v>#VALUE!</v>
      </c>
      <c r="Y38" s="51" t="e">
        <f>借款还本付息计划表!Y9+借款还本付息计划表!Y8+借款还本付息计划表!Y19+借款还本付息计划表!Y13</f>
        <v>#VALUE!</v>
      </c>
      <c r="Z38" s="51" t="e">
        <f>借款还本付息计划表!Z9+借款还本付息计划表!Z8+借款还本付息计划表!Z19+借款还本付息计划表!Z13</f>
        <v>#VALUE!</v>
      </c>
      <c r="AA38" s="51" t="e">
        <f>借款还本付息计划表!AA9+借款还本付息计划表!AA8+借款还本付息计划表!AA19+借款还本付息计划表!AA13</f>
        <v>#VALUE!</v>
      </c>
      <c r="AB38" s="51" t="e">
        <f>借款还本付息计划表!AB9+借款还本付息计划表!AB8+借款还本付息计划表!AB19+借款还本付息计划表!AB13</f>
        <v>#VALUE!</v>
      </c>
      <c r="AC38" s="51" t="e">
        <f>借款还本付息计划表!AC9+借款还本付息计划表!AC8+借款还本付息计划表!AC19+借款还本付息计划表!AC13</f>
        <v>#VALUE!</v>
      </c>
    </row>
    <row r="39" ht="17.25" hidden="1" customHeight="1" spans="1:29">
      <c r="A39" s="99"/>
      <c r="B39" s="10" t="s">
        <v>586</v>
      </c>
      <c r="C39" s="51"/>
      <c r="D39" s="51">
        <f t="shared" ref="D39:AC39" si="12">D5+D16+D25+D26+D27+D28+D30+C37</f>
        <v>0</v>
      </c>
      <c r="E39" s="51" t="e">
        <f t="shared" si="12"/>
        <v>#VALUE!</v>
      </c>
      <c r="F39" s="51" t="e">
        <f t="shared" si="12"/>
        <v>#VALUE!</v>
      </c>
      <c r="G39" s="51" t="e">
        <f t="shared" si="12"/>
        <v>#VALUE!</v>
      </c>
      <c r="H39" s="51" t="e">
        <f t="shared" si="12"/>
        <v>#VALUE!</v>
      </c>
      <c r="I39" s="51" t="e">
        <f t="shared" si="12"/>
        <v>#VALUE!</v>
      </c>
      <c r="J39" s="51" t="e">
        <f t="shared" si="12"/>
        <v>#VALUE!</v>
      </c>
      <c r="K39" s="51" t="e">
        <f t="shared" si="12"/>
        <v>#VALUE!</v>
      </c>
      <c r="L39" s="51" t="e">
        <f t="shared" si="12"/>
        <v>#VALUE!</v>
      </c>
      <c r="M39" s="51" t="e">
        <f t="shared" si="12"/>
        <v>#VALUE!</v>
      </c>
      <c r="N39" s="51" t="e">
        <f t="shared" si="12"/>
        <v>#VALUE!</v>
      </c>
      <c r="O39" s="51" t="e">
        <f t="shared" si="12"/>
        <v>#VALUE!</v>
      </c>
      <c r="P39" s="51" t="e">
        <f t="shared" si="12"/>
        <v>#VALUE!</v>
      </c>
      <c r="Q39" s="51" t="e">
        <f t="shared" si="12"/>
        <v>#VALUE!</v>
      </c>
      <c r="R39" s="51" t="e">
        <f t="shared" si="12"/>
        <v>#VALUE!</v>
      </c>
      <c r="S39" s="51" t="e">
        <f t="shared" si="12"/>
        <v>#VALUE!</v>
      </c>
      <c r="T39" s="51" t="e">
        <f t="shared" si="12"/>
        <v>#VALUE!</v>
      </c>
      <c r="U39" s="51" t="e">
        <f t="shared" si="12"/>
        <v>#VALUE!</v>
      </c>
      <c r="V39" s="51" t="e">
        <f t="shared" si="12"/>
        <v>#VALUE!</v>
      </c>
      <c r="W39" s="51" t="e">
        <f t="shared" si="12"/>
        <v>#VALUE!</v>
      </c>
      <c r="X39" s="51" t="e">
        <f t="shared" si="12"/>
        <v>#VALUE!</v>
      </c>
      <c r="Y39" s="51" t="e">
        <f t="shared" si="12"/>
        <v>#VALUE!</v>
      </c>
      <c r="Z39" s="51" t="e">
        <f t="shared" si="12"/>
        <v>#VALUE!</v>
      </c>
      <c r="AA39" s="51" t="e">
        <f t="shared" si="12"/>
        <v>#VALUE!</v>
      </c>
      <c r="AB39" s="51" t="e">
        <f t="shared" si="12"/>
        <v>#VALUE!</v>
      </c>
      <c r="AC39" s="51" t="e">
        <f t="shared" si="12"/>
        <v>#VALUE!</v>
      </c>
    </row>
    <row r="40" ht="17.25" hidden="1" customHeight="1" spans="1:29">
      <c r="A40" s="100"/>
      <c r="B40" s="10" t="s">
        <v>587</v>
      </c>
      <c r="C40" s="51"/>
      <c r="D40" s="51">
        <f t="shared" ref="D40:AC40" si="13">IF(D39-D38&gt;0,0,(D38-D39))</f>
        <v>0</v>
      </c>
      <c r="E40" s="51" t="e">
        <f t="shared" si="13"/>
        <v>#VALUE!</v>
      </c>
      <c r="F40" s="51" t="e">
        <f t="shared" si="13"/>
        <v>#VALUE!</v>
      </c>
      <c r="G40" s="51" t="e">
        <f t="shared" si="13"/>
        <v>#VALUE!</v>
      </c>
      <c r="H40" s="51" t="e">
        <f t="shared" si="13"/>
        <v>#VALUE!</v>
      </c>
      <c r="I40" s="51" t="e">
        <f t="shared" si="13"/>
        <v>#VALUE!</v>
      </c>
      <c r="J40" s="51" t="e">
        <f t="shared" si="13"/>
        <v>#VALUE!</v>
      </c>
      <c r="K40" s="51" t="e">
        <f t="shared" si="13"/>
        <v>#VALUE!</v>
      </c>
      <c r="L40" s="51" t="e">
        <f t="shared" si="13"/>
        <v>#VALUE!</v>
      </c>
      <c r="M40" s="51" t="e">
        <f t="shared" si="13"/>
        <v>#VALUE!</v>
      </c>
      <c r="N40" s="51" t="e">
        <f t="shared" si="13"/>
        <v>#VALUE!</v>
      </c>
      <c r="O40" s="51" t="e">
        <f t="shared" si="13"/>
        <v>#VALUE!</v>
      </c>
      <c r="P40" s="51" t="e">
        <f t="shared" si="13"/>
        <v>#VALUE!</v>
      </c>
      <c r="Q40" s="51" t="e">
        <f t="shared" si="13"/>
        <v>#VALUE!</v>
      </c>
      <c r="R40" s="51" t="e">
        <f t="shared" si="13"/>
        <v>#VALUE!</v>
      </c>
      <c r="S40" s="51" t="e">
        <f t="shared" si="13"/>
        <v>#VALUE!</v>
      </c>
      <c r="T40" s="51" t="e">
        <f t="shared" si="13"/>
        <v>#VALUE!</v>
      </c>
      <c r="U40" s="51" t="e">
        <f t="shared" si="13"/>
        <v>#VALUE!</v>
      </c>
      <c r="V40" s="51" t="e">
        <f t="shared" si="13"/>
        <v>#VALUE!</v>
      </c>
      <c r="W40" s="51" t="e">
        <f t="shared" si="13"/>
        <v>#VALUE!</v>
      </c>
      <c r="X40" s="51" t="e">
        <f t="shared" si="13"/>
        <v>#VALUE!</v>
      </c>
      <c r="Y40" s="51" t="e">
        <f t="shared" si="13"/>
        <v>#VALUE!</v>
      </c>
      <c r="Z40" s="51" t="e">
        <f t="shared" si="13"/>
        <v>#VALUE!</v>
      </c>
      <c r="AA40" s="51" t="e">
        <f t="shared" si="13"/>
        <v>#VALUE!</v>
      </c>
      <c r="AB40" s="51" t="e">
        <f t="shared" si="13"/>
        <v>#VALUE!</v>
      </c>
      <c r="AC40" s="51" t="e">
        <f t="shared" si="13"/>
        <v>#VALUE!</v>
      </c>
    </row>
  </sheetData>
  <mergeCells count="7">
    <mergeCell ref="A1:AC1"/>
    <mergeCell ref="A2:AC2"/>
    <mergeCell ref="E3:AC3"/>
    <mergeCell ref="A3:A4"/>
    <mergeCell ref="A38:A40"/>
    <mergeCell ref="B3:B4"/>
    <mergeCell ref="C3:C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35"/>
  <sheetViews>
    <sheetView workbookViewId="0">
      <pane xSplit="3" topLeftCell="D1" activePane="topRight" state="frozen"/>
      <selection/>
      <selection pane="topRight" activeCell="A1" sqref="A1:AC1"/>
    </sheetView>
  </sheetViews>
  <sheetFormatPr defaultColWidth="8.83333333333333" defaultRowHeight="13.5"/>
  <cols>
    <col min="1" max="1" width="8.83333333333333" style="13" customWidth="1"/>
    <col min="2" max="2" width="24.8333333333333" style="14" customWidth="1"/>
    <col min="3" max="3" width="12.8333333333333" style="3" customWidth="1"/>
    <col min="4" max="29" width="12.8333333333333" style="34" customWidth="1"/>
  </cols>
  <sheetData>
    <row r="1" ht="24" customHeight="1" spans="1:29">
      <c r="A1" s="16" t="s">
        <v>588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ht="15" customHeight="1" spans="1:29">
      <c r="A2" s="37" t="s">
        <v>464</v>
      </c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ht="15" customHeight="1" spans="1:29">
      <c r="A3" s="40" t="s">
        <v>1</v>
      </c>
      <c r="B3" s="41" t="s">
        <v>2</v>
      </c>
      <c r="C3" s="72" t="s">
        <v>465</v>
      </c>
      <c r="D3" s="42" t="s">
        <v>481</v>
      </c>
      <c r="E3" s="42" t="s">
        <v>482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ht="15" customHeight="1" spans="1:29">
      <c r="A4" s="73"/>
      <c r="B4" s="43"/>
      <c r="C4" s="42"/>
      <c r="D4" s="22" t="s">
        <v>278</v>
      </c>
      <c r="E4" s="74" t="s">
        <v>279</v>
      </c>
      <c r="F4" s="74" t="s">
        <v>280</v>
      </c>
      <c r="G4" s="74" t="s">
        <v>281</v>
      </c>
      <c r="H4" s="74" t="s">
        <v>282</v>
      </c>
      <c r="I4" s="74" t="s">
        <v>327</v>
      </c>
      <c r="J4" s="74" t="s">
        <v>328</v>
      </c>
      <c r="K4" s="74" t="s">
        <v>329</v>
      </c>
      <c r="L4" s="74" t="s">
        <v>330</v>
      </c>
      <c r="M4" s="74" t="s">
        <v>331</v>
      </c>
      <c r="N4" s="74" t="s">
        <v>332</v>
      </c>
      <c r="O4" s="74" t="s">
        <v>333</v>
      </c>
      <c r="P4" s="74" t="s">
        <v>334</v>
      </c>
      <c r="Q4" s="74" t="s">
        <v>335</v>
      </c>
      <c r="R4" s="74" t="s">
        <v>336</v>
      </c>
      <c r="S4" s="74" t="s">
        <v>337</v>
      </c>
      <c r="T4" s="74" t="s">
        <v>338</v>
      </c>
      <c r="U4" s="74" t="s">
        <v>339</v>
      </c>
      <c r="V4" s="74" t="s">
        <v>340</v>
      </c>
      <c r="W4" s="74" t="s">
        <v>341</v>
      </c>
      <c r="X4" s="74" t="s">
        <v>342</v>
      </c>
      <c r="Y4" s="74" t="s">
        <v>343</v>
      </c>
      <c r="Z4" s="74" t="s">
        <v>344</v>
      </c>
      <c r="AA4" s="74" t="s">
        <v>345</v>
      </c>
      <c r="AB4" s="74" t="s">
        <v>346</v>
      </c>
      <c r="AC4" s="74" t="s">
        <v>347</v>
      </c>
    </row>
    <row r="5" ht="15" customHeight="1" spans="1:29">
      <c r="A5" s="49">
        <v>1</v>
      </c>
      <c r="B5" s="53" t="s">
        <v>550</v>
      </c>
      <c r="C5" s="51" t="e">
        <f t="shared" ref="C5:C18" si="0">SUM(D5:AC5)</f>
        <v>#VALUE!</v>
      </c>
      <c r="D5" s="51">
        <f t="shared" ref="D5:AC5" si="1">SUM(D6:D10)</f>
        <v>0</v>
      </c>
      <c r="E5" s="51" t="e">
        <f t="shared" si="1"/>
        <v>#VALUE!</v>
      </c>
      <c r="F5" s="51" t="e">
        <f t="shared" si="1"/>
        <v>#VALUE!</v>
      </c>
      <c r="G5" s="51" t="e">
        <f t="shared" si="1"/>
        <v>#VALUE!</v>
      </c>
      <c r="H5" s="51" t="e">
        <f t="shared" si="1"/>
        <v>#VALUE!</v>
      </c>
      <c r="I5" s="51" t="e">
        <f t="shared" si="1"/>
        <v>#VALUE!</v>
      </c>
      <c r="J5" s="51" t="e">
        <f t="shared" si="1"/>
        <v>#VALUE!</v>
      </c>
      <c r="K5" s="51" t="e">
        <f t="shared" si="1"/>
        <v>#VALUE!</v>
      </c>
      <c r="L5" s="51" t="e">
        <f t="shared" si="1"/>
        <v>#VALUE!</v>
      </c>
      <c r="M5" s="51" t="e">
        <f t="shared" si="1"/>
        <v>#VALUE!</v>
      </c>
      <c r="N5" s="51" t="e">
        <f t="shared" si="1"/>
        <v>#VALUE!</v>
      </c>
      <c r="O5" s="51" t="e">
        <f t="shared" si="1"/>
        <v>#VALUE!</v>
      </c>
      <c r="P5" s="51" t="e">
        <f t="shared" si="1"/>
        <v>#VALUE!</v>
      </c>
      <c r="Q5" s="51" t="e">
        <f t="shared" si="1"/>
        <v>#VALUE!</v>
      </c>
      <c r="R5" s="51" t="e">
        <f t="shared" si="1"/>
        <v>#VALUE!</v>
      </c>
      <c r="S5" s="51" t="e">
        <f t="shared" si="1"/>
        <v>#VALUE!</v>
      </c>
      <c r="T5" s="51" t="e">
        <f t="shared" si="1"/>
        <v>#VALUE!</v>
      </c>
      <c r="U5" s="51" t="e">
        <f t="shared" si="1"/>
        <v>#VALUE!</v>
      </c>
      <c r="V5" s="51" t="e">
        <f t="shared" si="1"/>
        <v>#VALUE!</v>
      </c>
      <c r="W5" s="51" t="e">
        <f t="shared" si="1"/>
        <v>#VALUE!</v>
      </c>
      <c r="X5" s="51" t="e">
        <f t="shared" si="1"/>
        <v>#VALUE!</v>
      </c>
      <c r="Y5" s="51" t="e">
        <f t="shared" si="1"/>
        <v>#VALUE!</v>
      </c>
      <c r="Z5" s="51" t="e">
        <f t="shared" si="1"/>
        <v>#VALUE!</v>
      </c>
      <c r="AA5" s="51" t="e">
        <f t="shared" si="1"/>
        <v>#VALUE!</v>
      </c>
      <c r="AB5" s="51" t="e">
        <f t="shared" si="1"/>
        <v>#VALUE!</v>
      </c>
      <c r="AC5" s="51" t="e">
        <f t="shared" si="1"/>
        <v>#VALUE!</v>
      </c>
    </row>
    <row r="6" ht="15" customHeight="1" spans="1:29">
      <c r="A6" s="52">
        <v>1.1</v>
      </c>
      <c r="B6" s="24" t="s">
        <v>513</v>
      </c>
      <c r="C6" s="51" t="e">
        <f t="shared" si="0"/>
        <v>#VALUE!</v>
      </c>
      <c r="D6" s="51">
        <f>财务计划现金流量表!D7</f>
        <v>0</v>
      </c>
      <c r="E6" s="51" t="e">
        <f>财务计划现金流量表!E7</f>
        <v>#VALUE!</v>
      </c>
      <c r="F6" s="51" t="e">
        <f>财务计划现金流量表!F7</f>
        <v>#VALUE!</v>
      </c>
      <c r="G6" s="51" t="e">
        <f>财务计划现金流量表!G7</f>
        <v>#VALUE!</v>
      </c>
      <c r="H6" s="51" t="e">
        <f>财务计划现金流量表!H7</f>
        <v>#VALUE!</v>
      </c>
      <c r="I6" s="51" t="e">
        <f>财务计划现金流量表!I7</f>
        <v>#VALUE!</v>
      </c>
      <c r="J6" s="51" t="e">
        <f>财务计划现金流量表!J7</f>
        <v>#VALUE!</v>
      </c>
      <c r="K6" s="51" t="e">
        <f>财务计划现金流量表!K7</f>
        <v>#VALUE!</v>
      </c>
      <c r="L6" s="51" t="e">
        <f>财务计划现金流量表!L7</f>
        <v>#VALUE!</v>
      </c>
      <c r="M6" s="51" t="e">
        <f>财务计划现金流量表!M7</f>
        <v>#VALUE!</v>
      </c>
      <c r="N6" s="51" t="e">
        <f>财务计划现金流量表!N7</f>
        <v>#VALUE!</v>
      </c>
      <c r="O6" s="51" t="e">
        <f>财务计划现金流量表!O7</f>
        <v>#VALUE!</v>
      </c>
      <c r="P6" s="51" t="e">
        <f>财务计划现金流量表!P7</f>
        <v>#VALUE!</v>
      </c>
      <c r="Q6" s="51" t="e">
        <f>财务计划现金流量表!Q7</f>
        <v>#VALUE!</v>
      </c>
      <c r="R6" s="51" t="e">
        <f>财务计划现金流量表!R7</f>
        <v>#VALUE!</v>
      </c>
      <c r="S6" s="51" t="e">
        <f>财务计划现金流量表!S7</f>
        <v>#VALUE!</v>
      </c>
      <c r="T6" s="51" t="e">
        <f>财务计划现金流量表!T7</f>
        <v>#VALUE!</v>
      </c>
      <c r="U6" s="51" t="e">
        <f>财务计划现金流量表!U7</f>
        <v>#VALUE!</v>
      </c>
      <c r="V6" s="51" t="e">
        <f>财务计划现金流量表!V7</f>
        <v>#VALUE!</v>
      </c>
      <c r="W6" s="51" t="e">
        <f>财务计划现金流量表!W7</f>
        <v>#VALUE!</v>
      </c>
      <c r="X6" s="51" t="e">
        <f>财务计划现金流量表!X7</f>
        <v>#VALUE!</v>
      </c>
      <c r="Y6" s="51" t="e">
        <f>财务计划现金流量表!Y7</f>
        <v>#VALUE!</v>
      </c>
      <c r="Z6" s="51" t="e">
        <f>财务计划现金流量表!Z7</f>
        <v>#VALUE!</v>
      </c>
      <c r="AA6" s="51" t="e">
        <f>财务计划现金流量表!AA7</f>
        <v>#VALUE!</v>
      </c>
      <c r="AB6" s="51" t="e">
        <f>财务计划现金流量表!AB7</f>
        <v>#VALUE!</v>
      </c>
      <c r="AC6" s="51" t="e">
        <f>财务计划现金流量表!AC7</f>
        <v>#VALUE!</v>
      </c>
    </row>
    <row r="7" ht="15" customHeight="1" spans="1:29">
      <c r="A7" s="52">
        <v>1.2</v>
      </c>
      <c r="B7" s="24" t="s">
        <v>589</v>
      </c>
      <c r="C7" s="51">
        <f t="shared" si="0"/>
        <v>0</v>
      </c>
      <c r="D7" s="51">
        <f>财务计划现金流量表!D8</f>
        <v>0</v>
      </c>
      <c r="E7" s="51">
        <f>财务计划现金流量表!E8</f>
        <v>0</v>
      </c>
      <c r="F7" s="51">
        <f>财务计划现金流量表!F8</f>
        <v>0</v>
      </c>
      <c r="G7" s="51">
        <f>财务计划现金流量表!G8</f>
        <v>0</v>
      </c>
      <c r="H7" s="51">
        <f>财务计划现金流量表!H8</f>
        <v>0</v>
      </c>
      <c r="I7" s="51">
        <f>财务计划现金流量表!I8</f>
        <v>0</v>
      </c>
      <c r="J7" s="51">
        <f>财务计划现金流量表!J8</f>
        <v>0</v>
      </c>
      <c r="K7" s="51">
        <f>财务计划现金流量表!K8</f>
        <v>0</v>
      </c>
      <c r="L7" s="51">
        <f>财务计划现金流量表!L8</f>
        <v>0</v>
      </c>
      <c r="M7" s="51">
        <f>财务计划现金流量表!M8</f>
        <v>0</v>
      </c>
      <c r="N7" s="51">
        <f>财务计划现金流量表!N8</f>
        <v>0</v>
      </c>
      <c r="O7" s="51">
        <f>财务计划现金流量表!O8</f>
        <v>0</v>
      </c>
      <c r="P7" s="51">
        <f>财务计划现金流量表!P8</f>
        <v>0</v>
      </c>
      <c r="Q7" s="51">
        <f>财务计划现金流量表!Q8</f>
        <v>0</v>
      </c>
      <c r="R7" s="51">
        <f>财务计划现金流量表!R8</f>
        <v>0</v>
      </c>
      <c r="S7" s="51">
        <f>财务计划现金流量表!S8</f>
        <v>0</v>
      </c>
      <c r="T7" s="51">
        <f>财务计划现金流量表!T8</f>
        <v>0</v>
      </c>
      <c r="U7" s="51">
        <f>财务计划现金流量表!U8</f>
        <v>0</v>
      </c>
      <c r="V7" s="51">
        <f>财务计划现金流量表!V8</f>
        <v>0</v>
      </c>
      <c r="W7" s="51">
        <f>财务计划现金流量表!W8</f>
        <v>0</v>
      </c>
      <c r="X7" s="51">
        <f>财务计划现金流量表!X8</f>
        <v>0</v>
      </c>
      <c r="Y7" s="51">
        <f>财务计划现金流量表!Y8</f>
        <v>0</v>
      </c>
      <c r="Z7" s="51">
        <f>财务计划现金流量表!Z8</f>
        <v>0</v>
      </c>
      <c r="AA7" s="51">
        <f>财务计划现金流量表!AA8</f>
        <v>0</v>
      </c>
      <c r="AB7" s="51">
        <f>财务计划现金流量表!AB8</f>
        <v>0</v>
      </c>
      <c r="AC7" s="51">
        <f>财务计划现金流量表!AC8</f>
        <v>0</v>
      </c>
    </row>
    <row r="8" ht="15" customHeight="1" spans="1:29">
      <c r="A8" s="52">
        <v>1.3</v>
      </c>
      <c r="B8" s="24" t="s">
        <v>555</v>
      </c>
      <c r="C8" s="51">
        <f t="shared" si="0"/>
        <v>0</v>
      </c>
      <c r="D8" s="51">
        <f>财务计划现金流量表!D9</f>
        <v>0</v>
      </c>
      <c r="E8" s="51">
        <f>财务计划现金流量表!E9</f>
        <v>0</v>
      </c>
      <c r="F8" s="51">
        <f>财务计划现金流量表!F9</f>
        <v>0</v>
      </c>
      <c r="G8" s="51">
        <f>财务计划现金流量表!G9</f>
        <v>0</v>
      </c>
      <c r="H8" s="51">
        <f>财务计划现金流量表!H9</f>
        <v>0</v>
      </c>
      <c r="I8" s="51">
        <f>财务计划现金流量表!I9</f>
        <v>0</v>
      </c>
      <c r="J8" s="51">
        <f>财务计划现金流量表!J9</f>
        <v>0</v>
      </c>
      <c r="K8" s="51">
        <f>财务计划现金流量表!K9</f>
        <v>0</v>
      </c>
      <c r="L8" s="51">
        <f>财务计划现金流量表!L9</f>
        <v>0</v>
      </c>
      <c r="M8" s="51">
        <f>财务计划现金流量表!M9</f>
        <v>0</v>
      </c>
      <c r="N8" s="51">
        <f>财务计划现金流量表!N9</f>
        <v>0</v>
      </c>
      <c r="O8" s="51">
        <f>财务计划现金流量表!O9</f>
        <v>0</v>
      </c>
      <c r="P8" s="51">
        <f>财务计划现金流量表!P9</f>
        <v>0</v>
      </c>
      <c r="Q8" s="51">
        <f>财务计划现金流量表!Q9</f>
        <v>0</v>
      </c>
      <c r="R8" s="51">
        <f>财务计划现金流量表!R9</f>
        <v>0</v>
      </c>
      <c r="S8" s="51">
        <f>财务计划现金流量表!S9</f>
        <v>0</v>
      </c>
      <c r="T8" s="51">
        <f>财务计划现金流量表!T9</f>
        <v>0</v>
      </c>
      <c r="U8" s="51">
        <f>财务计划现金流量表!U9</f>
        <v>0</v>
      </c>
      <c r="V8" s="51">
        <f>财务计划现金流量表!V9</f>
        <v>0</v>
      </c>
      <c r="W8" s="51">
        <f>财务计划现金流量表!W9</f>
        <v>0</v>
      </c>
      <c r="X8" s="51">
        <f>财务计划现金流量表!X9</f>
        <v>0</v>
      </c>
      <c r="Y8" s="51">
        <f>财务计划现金流量表!Y9</f>
        <v>0</v>
      </c>
      <c r="Z8" s="51">
        <f>财务计划现金流量表!Z9</f>
        <v>0</v>
      </c>
      <c r="AA8" s="51">
        <f>财务计划现金流量表!AA9</f>
        <v>0</v>
      </c>
      <c r="AB8" s="51">
        <f>财务计划现金流量表!AB9</f>
        <v>0</v>
      </c>
      <c r="AC8" s="51">
        <f>财务计划现金流量表!AC9</f>
        <v>0</v>
      </c>
    </row>
    <row r="9" ht="15" customHeight="1" spans="1:29">
      <c r="A9" s="52">
        <v>1.4</v>
      </c>
      <c r="B9" s="24" t="s">
        <v>563</v>
      </c>
      <c r="C9" s="51">
        <f t="shared" si="0"/>
        <v>0</v>
      </c>
      <c r="D9" s="51">
        <f>财务计划现金流量表!D18</f>
        <v>0</v>
      </c>
      <c r="E9" s="51">
        <f>财务计划现金流量表!E18</f>
        <v>0</v>
      </c>
      <c r="F9" s="51">
        <f>财务计划现金流量表!F18</f>
        <v>0</v>
      </c>
      <c r="G9" s="51">
        <f>财务计划现金流量表!G18</f>
        <v>0</v>
      </c>
      <c r="H9" s="51">
        <f>财务计划现金流量表!H18</f>
        <v>0</v>
      </c>
      <c r="I9" s="51">
        <f>财务计划现金流量表!I18</f>
        <v>0</v>
      </c>
      <c r="J9" s="51">
        <f>财务计划现金流量表!J18</f>
        <v>0</v>
      </c>
      <c r="K9" s="51">
        <f>财务计划现金流量表!K18</f>
        <v>0</v>
      </c>
      <c r="L9" s="51">
        <f>财务计划现金流量表!L18</f>
        <v>0</v>
      </c>
      <c r="M9" s="51">
        <f>财务计划现金流量表!M18</f>
        <v>0</v>
      </c>
      <c r="N9" s="51">
        <f>财务计划现金流量表!N18</f>
        <v>0</v>
      </c>
      <c r="O9" s="51">
        <f>财务计划现金流量表!O18</f>
        <v>0</v>
      </c>
      <c r="P9" s="51">
        <f>财务计划现金流量表!P18</f>
        <v>0</v>
      </c>
      <c r="Q9" s="51">
        <f>财务计划现金流量表!Q18</f>
        <v>0</v>
      </c>
      <c r="R9" s="51">
        <f>财务计划现金流量表!R18</f>
        <v>0</v>
      </c>
      <c r="S9" s="51">
        <f>财务计划现金流量表!S18</f>
        <v>0</v>
      </c>
      <c r="T9" s="51">
        <f>财务计划现金流量表!T18</f>
        <v>0</v>
      </c>
      <c r="U9" s="51">
        <f>财务计划现金流量表!U18</f>
        <v>0</v>
      </c>
      <c r="V9" s="51">
        <f>财务计划现金流量表!V18</f>
        <v>0</v>
      </c>
      <c r="W9" s="51">
        <f>财务计划现金流量表!W18</f>
        <v>0</v>
      </c>
      <c r="X9" s="51">
        <f>财务计划现金流量表!X18</f>
        <v>0</v>
      </c>
      <c r="Y9" s="51">
        <f>财务计划现金流量表!Y18</f>
        <v>0</v>
      </c>
      <c r="Z9" s="51">
        <f>财务计划现金流量表!Z18</f>
        <v>0</v>
      </c>
      <c r="AA9" s="51">
        <f>财务计划现金流量表!AA18</f>
        <v>0</v>
      </c>
      <c r="AB9" s="51">
        <f>财务计划现金流量表!AB18</f>
        <v>0</v>
      </c>
      <c r="AC9" s="51">
        <f>财务计划现金流量表!AC18</f>
        <v>0</v>
      </c>
    </row>
    <row r="10" ht="15" customHeight="1" spans="1:29">
      <c r="A10" s="52">
        <v>1.5</v>
      </c>
      <c r="B10" s="24" t="s">
        <v>564</v>
      </c>
      <c r="C10" s="51">
        <f t="shared" si="0"/>
        <v>0</v>
      </c>
      <c r="D10" s="51">
        <f>财务计划现金流量表!D19</f>
        <v>0</v>
      </c>
      <c r="E10" s="51">
        <f>财务计划现金流量表!E19</f>
        <v>0</v>
      </c>
      <c r="F10" s="51">
        <f>财务计划现金流量表!F19</f>
        <v>0</v>
      </c>
      <c r="G10" s="51">
        <f>财务计划现金流量表!G19</f>
        <v>0</v>
      </c>
      <c r="H10" s="51">
        <f>财务计划现金流量表!H19</f>
        <v>0</v>
      </c>
      <c r="I10" s="51">
        <f>财务计划现金流量表!I19</f>
        <v>0</v>
      </c>
      <c r="J10" s="51">
        <f>财务计划现金流量表!J19</f>
        <v>0</v>
      </c>
      <c r="K10" s="51">
        <f>财务计划现金流量表!K19</f>
        <v>0</v>
      </c>
      <c r="L10" s="51">
        <f>财务计划现金流量表!L19</f>
        <v>0</v>
      </c>
      <c r="M10" s="51">
        <f>财务计划现金流量表!M19</f>
        <v>0</v>
      </c>
      <c r="N10" s="51">
        <f>财务计划现金流量表!N19</f>
        <v>0</v>
      </c>
      <c r="O10" s="51">
        <f>财务计划现金流量表!O19</f>
        <v>0</v>
      </c>
      <c r="P10" s="51">
        <f>财务计划现金流量表!P19</f>
        <v>0</v>
      </c>
      <c r="Q10" s="51">
        <f>财务计划现金流量表!Q19</f>
        <v>0</v>
      </c>
      <c r="R10" s="51">
        <f>财务计划现金流量表!R19</f>
        <v>0</v>
      </c>
      <c r="S10" s="51">
        <f>财务计划现金流量表!S19</f>
        <v>0</v>
      </c>
      <c r="T10" s="51">
        <f>财务计划现金流量表!T19</f>
        <v>0</v>
      </c>
      <c r="U10" s="51">
        <f>财务计划现金流量表!U19</f>
        <v>0</v>
      </c>
      <c r="V10" s="51">
        <f>财务计划现金流量表!V19</f>
        <v>0</v>
      </c>
      <c r="W10" s="51">
        <f>财务计划现金流量表!W19</f>
        <v>0</v>
      </c>
      <c r="X10" s="51">
        <f>财务计划现金流量表!X19</f>
        <v>0</v>
      </c>
      <c r="Y10" s="51">
        <f>财务计划现金流量表!Y19</f>
        <v>0</v>
      </c>
      <c r="Z10" s="51">
        <f>财务计划现金流量表!Z19</f>
        <v>0</v>
      </c>
      <c r="AA10" s="51">
        <f>财务计划现金流量表!AA19</f>
        <v>0</v>
      </c>
      <c r="AB10" s="51">
        <f>财务计划现金流量表!AB19</f>
        <v>0</v>
      </c>
      <c r="AC10" s="51">
        <f>财务计划现金流量表!AC19</f>
        <v>0</v>
      </c>
    </row>
    <row r="11" ht="15" customHeight="1" spans="1:29">
      <c r="A11" s="49">
        <v>2</v>
      </c>
      <c r="B11" s="24" t="s">
        <v>556</v>
      </c>
      <c r="C11" s="51" t="e">
        <f t="shared" si="0"/>
        <v>#REF!</v>
      </c>
      <c r="D11" s="51">
        <f t="shared" ref="D11:AC11" si="2">SUM(D12:D17)</f>
        <v>0</v>
      </c>
      <c r="E11" s="51" t="e">
        <f t="shared" si="2"/>
        <v>#REF!</v>
      </c>
      <c r="F11" s="51" t="e">
        <f t="shared" si="2"/>
        <v>#REF!</v>
      </c>
      <c r="G11" s="51" t="e">
        <f t="shared" si="2"/>
        <v>#REF!</v>
      </c>
      <c r="H11" s="51" t="e">
        <f t="shared" si="2"/>
        <v>#REF!</v>
      </c>
      <c r="I11" s="51" t="e">
        <f t="shared" si="2"/>
        <v>#REF!</v>
      </c>
      <c r="J11" s="51" t="e">
        <f t="shared" si="2"/>
        <v>#REF!</v>
      </c>
      <c r="K11" s="51" t="e">
        <f t="shared" si="2"/>
        <v>#REF!</v>
      </c>
      <c r="L11" s="51" t="e">
        <f t="shared" si="2"/>
        <v>#REF!</v>
      </c>
      <c r="M11" s="51" t="e">
        <f t="shared" si="2"/>
        <v>#REF!</v>
      </c>
      <c r="N11" s="51" t="e">
        <f t="shared" si="2"/>
        <v>#REF!</v>
      </c>
      <c r="O11" s="51" t="e">
        <f t="shared" si="2"/>
        <v>#REF!</v>
      </c>
      <c r="P11" s="51" t="e">
        <f t="shared" si="2"/>
        <v>#REF!</v>
      </c>
      <c r="Q11" s="51" t="e">
        <f t="shared" si="2"/>
        <v>#REF!</v>
      </c>
      <c r="R11" s="51" t="e">
        <f t="shared" si="2"/>
        <v>#REF!</v>
      </c>
      <c r="S11" s="51" t="e">
        <f t="shared" si="2"/>
        <v>#REF!</v>
      </c>
      <c r="T11" s="51" t="e">
        <f t="shared" si="2"/>
        <v>#REF!</v>
      </c>
      <c r="U11" s="51" t="e">
        <f t="shared" si="2"/>
        <v>#REF!</v>
      </c>
      <c r="V11" s="51" t="e">
        <f t="shared" si="2"/>
        <v>#REF!</v>
      </c>
      <c r="W11" s="51" t="e">
        <f t="shared" si="2"/>
        <v>#REF!</v>
      </c>
      <c r="X11" s="51" t="e">
        <f t="shared" si="2"/>
        <v>#REF!</v>
      </c>
      <c r="Y11" s="51" t="e">
        <f t="shared" si="2"/>
        <v>#REF!</v>
      </c>
      <c r="Z11" s="51" t="e">
        <f t="shared" si="2"/>
        <v>#REF!</v>
      </c>
      <c r="AA11" s="51" t="e">
        <f t="shared" si="2"/>
        <v>#REF!</v>
      </c>
      <c r="AB11" s="51" t="e">
        <f t="shared" si="2"/>
        <v>#REF!</v>
      </c>
      <c r="AC11" s="51" t="e">
        <f t="shared" si="2"/>
        <v>#REF!</v>
      </c>
    </row>
    <row r="12" ht="15" customHeight="1" spans="1:29">
      <c r="A12" s="52">
        <v>2.1</v>
      </c>
      <c r="B12" s="24" t="s">
        <v>468</v>
      </c>
      <c r="C12" s="51">
        <f t="shared" si="0"/>
        <v>0</v>
      </c>
      <c r="D12" s="51">
        <f>财务计划现金流量表!D21</f>
        <v>0</v>
      </c>
      <c r="E12" s="51">
        <f>财务计划现金流量表!E21</f>
        <v>0</v>
      </c>
      <c r="F12" s="51">
        <f>财务计划现金流量表!F21</f>
        <v>0</v>
      </c>
      <c r="G12" s="51">
        <f>财务计划现金流量表!G21</f>
        <v>0</v>
      </c>
      <c r="H12" s="51">
        <f>财务计划现金流量表!H21</f>
        <v>0</v>
      </c>
      <c r="I12" s="51">
        <f>财务计划现金流量表!I21</f>
        <v>0</v>
      </c>
      <c r="J12" s="51">
        <f>财务计划现金流量表!J21</f>
        <v>0</v>
      </c>
      <c r="K12" s="51">
        <f>财务计划现金流量表!K21</f>
        <v>0</v>
      </c>
      <c r="L12" s="51">
        <f>财务计划现金流量表!L21</f>
        <v>0</v>
      </c>
      <c r="M12" s="51">
        <f>财务计划现金流量表!M21</f>
        <v>0</v>
      </c>
      <c r="N12" s="51">
        <f>财务计划现金流量表!N21</f>
        <v>0</v>
      </c>
      <c r="O12" s="51">
        <f>财务计划现金流量表!O21</f>
        <v>0</v>
      </c>
      <c r="P12" s="51">
        <f>财务计划现金流量表!P21</f>
        <v>0</v>
      </c>
      <c r="Q12" s="51">
        <f>财务计划现金流量表!Q21</f>
        <v>0</v>
      </c>
      <c r="R12" s="51">
        <f>财务计划现金流量表!R21</f>
        <v>0</v>
      </c>
      <c r="S12" s="51">
        <f>财务计划现金流量表!S21</f>
        <v>0</v>
      </c>
      <c r="T12" s="51">
        <f>财务计划现金流量表!T21</f>
        <v>0</v>
      </c>
      <c r="U12" s="51">
        <f>财务计划现金流量表!U21</f>
        <v>0</v>
      </c>
      <c r="V12" s="51">
        <f>财务计划现金流量表!V21</f>
        <v>0</v>
      </c>
      <c r="W12" s="51">
        <f>财务计划现金流量表!W21</f>
        <v>0</v>
      </c>
      <c r="X12" s="51">
        <f>财务计划现金流量表!X21</f>
        <v>0</v>
      </c>
      <c r="Y12" s="51">
        <f>财务计划现金流量表!Y21</f>
        <v>0</v>
      </c>
      <c r="Z12" s="51">
        <f>财务计划现金流量表!Z21</f>
        <v>0</v>
      </c>
      <c r="AA12" s="51">
        <f>财务计划现金流量表!AA21</f>
        <v>0</v>
      </c>
      <c r="AB12" s="51">
        <f>财务计划现金流量表!AB21</f>
        <v>0</v>
      </c>
      <c r="AC12" s="51">
        <f>财务计划现金流量表!AC21</f>
        <v>0</v>
      </c>
    </row>
    <row r="13" ht="15" customHeight="1" spans="1:29">
      <c r="A13" s="52">
        <v>2.2</v>
      </c>
      <c r="B13" s="24" t="s">
        <v>314</v>
      </c>
      <c r="C13" s="51">
        <f t="shared" si="0"/>
        <v>0</v>
      </c>
      <c r="D13" s="51">
        <f>财务计划现金流量表!D22</f>
        <v>0</v>
      </c>
      <c r="E13" s="51">
        <f>财务计划现金流量表!E22</f>
        <v>0</v>
      </c>
      <c r="F13" s="51">
        <f>财务计划现金流量表!F22</f>
        <v>0</v>
      </c>
      <c r="G13" s="51">
        <f>财务计划现金流量表!G22</f>
        <v>0</v>
      </c>
      <c r="H13" s="51">
        <f>财务计划现金流量表!H22</f>
        <v>0</v>
      </c>
      <c r="I13" s="51">
        <f>财务计划现金流量表!I22</f>
        <v>0</v>
      </c>
      <c r="J13" s="51">
        <f>财务计划现金流量表!J22</f>
        <v>0</v>
      </c>
      <c r="K13" s="51">
        <f>财务计划现金流量表!K22</f>
        <v>0</v>
      </c>
      <c r="L13" s="51">
        <f>财务计划现金流量表!L22</f>
        <v>0</v>
      </c>
      <c r="M13" s="51">
        <f>财务计划现金流量表!M22</f>
        <v>0</v>
      </c>
      <c r="N13" s="51">
        <f>财务计划现金流量表!N22</f>
        <v>0</v>
      </c>
      <c r="O13" s="51">
        <f>财务计划现金流量表!O22</f>
        <v>0</v>
      </c>
      <c r="P13" s="51">
        <f>财务计划现金流量表!P22</f>
        <v>0</v>
      </c>
      <c r="Q13" s="51">
        <f>财务计划现金流量表!Q22</f>
        <v>0</v>
      </c>
      <c r="R13" s="51">
        <f>财务计划现金流量表!R22</f>
        <v>0</v>
      </c>
      <c r="S13" s="51">
        <f>财务计划现金流量表!S22</f>
        <v>0</v>
      </c>
      <c r="T13" s="51">
        <f>财务计划现金流量表!T22</f>
        <v>0</v>
      </c>
      <c r="U13" s="51">
        <f>财务计划现金流量表!U22</f>
        <v>0</v>
      </c>
      <c r="V13" s="51">
        <f>财务计划现金流量表!V22</f>
        <v>0</v>
      </c>
      <c r="W13" s="51">
        <f>财务计划现金流量表!W22</f>
        <v>0</v>
      </c>
      <c r="X13" s="51">
        <f>财务计划现金流量表!X22</f>
        <v>0</v>
      </c>
      <c r="Y13" s="51">
        <f>财务计划现金流量表!Y22</f>
        <v>0</v>
      </c>
      <c r="Z13" s="51">
        <f>财务计划现金流量表!Z22</f>
        <v>0</v>
      </c>
      <c r="AA13" s="51">
        <f>财务计划现金流量表!AA22</f>
        <v>0</v>
      </c>
      <c r="AB13" s="51">
        <f>财务计划现金流量表!AB22</f>
        <v>0</v>
      </c>
      <c r="AC13" s="51">
        <f>财务计划现金流量表!AC22</f>
        <v>0</v>
      </c>
    </row>
    <row r="14" ht="15" customHeight="1" spans="1:29">
      <c r="A14" s="52">
        <v>2.3</v>
      </c>
      <c r="B14" s="24" t="s">
        <v>486</v>
      </c>
      <c r="C14" s="51" t="e">
        <f t="shared" si="0"/>
        <v>#REF!</v>
      </c>
      <c r="D14" s="51">
        <f>总成本费用表!D21</f>
        <v>0</v>
      </c>
      <c r="E14" s="51" t="e">
        <f>总成本费用表!E21</f>
        <v>#REF!</v>
      </c>
      <c r="F14" s="51" t="e">
        <f>总成本费用表!F21</f>
        <v>#REF!</v>
      </c>
      <c r="G14" s="51" t="e">
        <f>总成本费用表!G21</f>
        <v>#REF!</v>
      </c>
      <c r="H14" s="51" t="e">
        <f>总成本费用表!H21</f>
        <v>#REF!</v>
      </c>
      <c r="I14" s="51" t="e">
        <f>总成本费用表!I21</f>
        <v>#REF!</v>
      </c>
      <c r="J14" s="51" t="e">
        <f>总成本费用表!J21</f>
        <v>#REF!</v>
      </c>
      <c r="K14" s="51" t="e">
        <f>总成本费用表!K21</f>
        <v>#REF!</v>
      </c>
      <c r="L14" s="51" t="e">
        <f>总成本费用表!L21</f>
        <v>#REF!</v>
      </c>
      <c r="M14" s="51" t="e">
        <f>总成本费用表!M21</f>
        <v>#REF!</v>
      </c>
      <c r="N14" s="51" t="e">
        <f>总成本费用表!N21</f>
        <v>#REF!</v>
      </c>
      <c r="O14" s="51" t="e">
        <f>总成本费用表!O21</f>
        <v>#REF!</v>
      </c>
      <c r="P14" s="51" t="e">
        <f>总成本费用表!P21</f>
        <v>#REF!</v>
      </c>
      <c r="Q14" s="51" t="e">
        <f>总成本费用表!Q21</f>
        <v>#REF!</v>
      </c>
      <c r="R14" s="51" t="e">
        <f>总成本费用表!R21</f>
        <v>#REF!</v>
      </c>
      <c r="S14" s="51" t="e">
        <f>总成本费用表!S21</f>
        <v>#REF!</v>
      </c>
      <c r="T14" s="51" t="e">
        <f>总成本费用表!T21</f>
        <v>#REF!</v>
      </c>
      <c r="U14" s="51" t="e">
        <f>总成本费用表!U21</f>
        <v>#REF!</v>
      </c>
      <c r="V14" s="51" t="e">
        <f>总成本费用表!V21</f>
        <v>#REF!</v>
      </c>
      <c r="W14" s="51" t="e">
        <f>总成本费用表!W21</f>
        <v>#REF!</v>
      </c>
      <c r="X14" s="51" t="e">
        <f>总成本费用表!X21</f>
        <v>#REF!</v>
      </c>
      <c r="Y14" s="51" t="e">
        <f>总成本费用表!Y21</f>
        <v>#REF!</v>
      </c>
      <c r="Z14" s="51" t="e">
        <f>总成本费用表!Z21</f>
        <v>#REF!</v>
      </c>
      <c r="AA14" s="51" t="e">
        <f>总成本费用表!AA21</f>
        <v>#REF!</v>
      </c>
      <c r="AB14" s="51" t="e">
        <f>总成本费用表!AB21</f>
        <v>#REF!</v>
      </c>
      <c r="AC14" s="51" t="e">
        <f>总成本费用表!AC21</f>
        <v>#REF!</v>
      </c>
    </row>
    <row r="15" ht="15" customHeight="1" spans="1:29">
      <c r="A15" s="52">
        <v>2.4</v>
      </c>
      <c r="B15" s="24" t="s">
        <v>559</v>
      </c>
      <c r="C15" s="51" t="e">
        <f t="shared" si="0"/>
        <v>#VALUE!</v>
      </c>
      <c r="D15" s="51">
        <f>财务计划现金流量表!D13</f>
        <v>0</v>
      </c>
      <c r="E15" s="51" t="e">
        <f>财务计划现金流量表!E13</f>
        <v>#VALUE!</v>
      </c>
      <c r="F15" s="51" t="e">
        <f>财务计划现金流量表!F13</f>
        <v>#VALUE!</v>
      </c>
      <c r="G15" s="51" t="e">
        <f>财务计划现金流量表!G13</f>
        <v>#VALUE!</v>
      </c>
      <c r="H15" s="51" t="e">
        <f>财务计划现金流量表!H13</f>
        <v>#VALUE!</v>
      </c>
      <c r="I15" s="51" t="e">
        <f>财务计划现金流量表!I13</f>
        <v>#VALUE!</v>
      </c>
      <c r="J15" s="51" t="e">
        <f>财务计划现金流量表!J13</f>
        <v>#VALUE!</v>
      </c>
      <c r="K15" s="51" t="e">
        <f>财务计划现金流量表!K13</f>
        <v>#VALUE!</v>
      </c>
      <c r="L15" s="51" t="e">
        <f>财务计划现金流量表!L13</f>
        <v>#VALUE!</v>
      </c>
      <c r="M15" s="51" t="e">
        <f>财务计划现金流量表!M13</f>
        <v>#VALUE!</v>
      </c>
      <c r="N15" s="51" t="e">
        <f>财务计划现金流量表!N13</f>
        <v>#VALUE!</v>
      </c>
      <c r="O15" s="51" t="e">
        <f>财务计划现金流量表!O13</f>
        <v>#VALUE!</v>
      </c>
      <c r="P15" s="51" t="e">
        <f>财务计划现金流量表!P13</f>
        <v>#VALUE!</v>
      </c>
      <c r="Q15" s="51" t="e">
        <f>财务计划现金流量表!Q13</f>
        <v>#VALUE!</v>
      </c>
      <c r="R15" s="51" t="e">
        <f>财务计划现金流量表!R13</f>
        <v>#VALUE!</v>
      </c>
      <c r="S15" s="51" t="e">
        <f>财务计划现金流量表!S13</f>
        <v>#VALUE!</v>
      </c>
      <c r="T15" s="51" t="e">
        <f>财务计划现金流量表!T13</f>
        <v>#VALUE!</v>
      </c>
      <c r="U15" s="51" t="e">
        <f>财务计划现金流量表!U13</f>
        <v>#VALUE!</v>
      </c>
      <c r="V15" s="51" t="e">
        <f>财务计划现金流量表!V13</f>
        <v>#VALUE!</v>
      </c>
      <c r="W15" s="51" t="e">
        <f>财务计划现金流量表!W13</f>
        <v>#VALUE!</v>
      </c>
      <c r="X15" s="51" t="e">
        <f>财务计划现金流量表!X13</f>
        <v>#VALUE!</v>
      </c>
      <c r="Y15" s="51" t="e">
        <f>财务计划现金流量表!Y13</f>
        <v>#VALUE!</v>
      </c>
      <c r="Z15" s="51" t="e">
        <f>财务计划现金流量表!Z13</f>
        <v>#VALUE!</v>
      </c>
      <c r="AA15" s="51" t="e">
        <f>财务计划现金流量表!AA13</f>
        <v>#VALUE!</v>
      </c>
      <c r="AB15" s="51" t="e">
        <f>财务计划现金流量表!AB13</f>
        <v>#VALUE!</v>
      </c>
      <c r="AC15" s="51" t="e">
        <f>财务计划现金流量表!AC13</f>
        <v>#VALUE!</v>
      </c>
    </row>
    <row r="16" ht="15" customHeight="1" spans="1:29">
      <c r="A16" s="52">
        <v>2.5</v>
      </c>
      <c r="B16" s="24" t="s">
        <v>383</v>
      </c>
      <c r="C16" s="51">
        <f t="shared" si="0"/>
        <v>0</v>
      </c>
      <c r="D16" s="51">
        <f>财务计划现金流量表!D14</f>
        <v>0</v>
      </c>
      <c r="E16" s="51">
        <f>财务计划现金流量表!E14</f>
        <v>0</v>
      </c>
      <c r="F16" s="51">
        <f>财务计划现金流量表!F14</f>
        <v>0</v>
      </c>
      <c r="G16" s="51">
        <f>财务计划现金流量表!G14</f>
        <v>0</v>
      </c>
      <c r="H16" s="51">
        <f>财务计划现金流量表!H14</f>
        <v>0</v>
      </c>
      <c r="I16" s="51">
        <f>财务计划现金流量表!I14</f>
        <v>0</v>
      </c>
      <c r="J16" s="51">
        <f>财务计划现金流量表!J14</f>
        <v>0</v>
      </c>
      <c r="K16" s="51">
        <f>财务计划现金流量表!K14</f>
        <v>0</v>
      </c>
      <c r="L16" s="51">
        <f>财务计划现金流量表!L14</f>
        <v>0</v>
      </c>
      <c r="M16" s="51">
        <f>财务计划现金流量表!M14</f>
        <v>0</v>
      </c>
      <c r="N16" s="51">
        <f>财务计划现金流量表!N14</f>
        <v>0</v>
      </c>
      <c r="O16" s="51">
        <f>财务计划现金流量表!O14</f>
        <v>0</v>
      </c>
      <c r="P16" s="51">
        <f>财务计划现金流量表!P14</f>
        <v>0</v>
      </c>
      <c r="Q16" s="51">
        <f>财务计划现金流量表!Q14</f>
        <v>0</v>
      </c>
      <c r="R16" s="51">
        <f>财务计划现金流量表!R14</f>
        <v>0</v>
      </c>
      <c r="S16" s="51">
        <f>财务计划现金流量表!S14</f>
        <v>0</v>
      </c>
      <c r="T16" s="51">
        <f>财务计划现金流量表!T14</f>
        <v>0</v>
      </c>
      <c r="U16" s="51">
        <f>财务计划现金流量表!U14</f>
        <v>0</v>
      </c>
      <c r="V16" s="51">
        <f>财务计划现金流量表!V14</f>
        <v>0</v>
      </c>
      <c r="W16" s="51">
        <f>财务计划现金流量表!W14</f>
        <v>0</v>
      </c>
      <c r="X16" s="51">
        <f>财务计划现金流量表!X14</f>
        <v>0</v>
      </c>
      <c r="Y16" s="51">
        <f>财务计划现金流量表!Y14</f>
        <v>0</v>
      </c>
      <c r="Z16" s="51">
        <f>财务计划现金流量表!Z14</f>
        <v>0</v>
      </c>
      <c r="AA16" s="51">
        <f>财务计划现金流量表!AA14</f>
        <v>0</v>
      </c>
      <c r="AB16" s="51">
        <f>财务计划现金流量表!AB14</f>
        <v>0</v>
      </c>
      <c r="AC16" s="51">
        <f>财务计划现金流量表!AC14</f>
        <v>0</v>
      </c>
    </row>
    <row r="17" ht="15" customHeight="1" spans="1:29">
      <c r="A17" s="52">
        <v>2.6</v>
      </c>
      <c r="B17" s="24" t="s">
        <v>515</v>
      </c>
      <c r="C17" s="51" t="e">
        <f t="shared" si="0"/>
        <v>#VALUE!</v>
      </c>
      <c r="D17" s="51">
        <f>财务计划现金流量表!D12</f>
        <v>0</v>
      </c>
      <c r="E17" s="51" t="e">
        <f>财务计划现金流量表!E12</f>
        <v>#VALUE!</v>
      </c>
      <c r="F17" s="51" t="e">
        <f>财务计划现金流量表!F12</f>
        <v>#VALUE!</v>
      </c>
      <c r="G17" s="51" t="e">
        <f>财务计划现金流量表!G12</f>
        <v>#VALUE!</v>
      </c>
      <c r="H17" s="51" t="e">
        <f>财务计划现金流量表!H12</f>
        <v>#VALUE!</v>
      </c>
      <c r="I17" s="51" t="e">
        <f>财务计划现金流量表!I12</f>
        <v>#VALUE!</v>
      </c>
      <c r="J17" s="51" t="e">
        <f>财务计划现金流量表!J12</f>
        <v>#VALUE!</v>
      </c>
      <c r="K17" s="51" t="e">
        <f>财务计划现金流量表!K12</f>
        <v>#VALUE!</v>
      </c>
      <c r="L17" s="51" t="e">
        <f>财务计划现金流量表!L12</f>
        <v>#VALUE!</v>
      </c>
      <c r="M17" s="51" t="e">
        <f>财务计划现金流量表!M12</f>
        <v>#VALUE!</v>
      </c>
      <c r="N17" s="51" t="e">
        <f>财务计划现金流量表!N12</f>
        <v>#VALUE!</v>
      </c>
      <c r="O17" s="51" t="e">
        <f>财务计划现金流量表!O12</f>
        <v>#VALUE!</v>
      </c>
      <c r="P17" s="51" t="e">
        <f>财务计划现金流量表!P12</f>
        <v>#VALUE!</v>
      </c>
      <c r="Q17" s="51" t="e">
        <f>财务计划现金流量表!Q12</f>
        <v>#VALUE!</v>
      </c>
      <c r="R17" s="51" t="e">
        <f>财务计划现金流量表!R12</f>
        <v>#VALUE!</v>
      </c>
      <c r="S17" s="51" t="e">
        <f>财务计划现金流量表!S12</f>
        <v>#VALUE!</v>
      </c>
      <c r="T17" s="51" t="e">
        <f>财务计划现金流量表!T12</f>
        <v>#VALUE!</v>
      </c>
      <c r="U17" s="51" t="e">
        <f>财务计划现金流量表!U12</f>
        <v>#VALUE!</v>
      </c>
      <c r="V17" s="51" t="e">
        <f>财务计划现金流量表!V12</f>
        <v>#VALUE!</v>
      </c>
      <c r="W17" s="51" t="e">
        <f>财务计划现金流量表!W12</f>
        <v>#VALUE!</v>
      </c>
      <c r="X17" s="51" t="e">
        <f>财务计划现金流量表!X12</f>
        <v>#VALUE!</v>
      </c>
      <c r="Y17" s="51" t="e">
        <f>财务计划现金流量表!Y12</f>
        <v>#VALUE!</v>
      </c>
      <c r="Z17" s="51" t="e">
        <f>财务计划现金流量表!Z12</f>
        <v>#VALUE!</v>
      </c>
      <c r="AA17" s="51" t="e">
        <f>财务计划现金流量表!AA12</f>
        <v>#VALUE!</v>
      </c>
      <c r="AB17" s="51" t="e">
        <f>财务计划现金流量表!AB12</f>
        <v>#VALUE!</v>
      </c>
      <c r="AC17" s="51" t="e">
        <f>财务计划现金流量表!AC12</f>
        <v>#VALUE!</v>
      </c>
    </row>
    <row r="18" ht="15" customHeight="1" spans="1:29">
      <c r="A18" s="68">
        <v>3</v>
      </c>
      <c r="B18" s="24" t="s">
        <v>590</v>
      </c>
      <c r="C18" s="51" t="e">
        <f t="shared" si="0"/>
        <v>#VALUE!</v>
      </c>
      <c r="D18" s="51">
        <f t="shared" ref="D18:AC18" si="3">D5-D11</f>
        <v>0</v>
      </c>
      <c r="E18" s="51" t="e">
        <f t="shared" si="3"/>
        <v>#VALUE!</v>
      </c>
      <c r="F18" s="51" t="e">
        <f t="shared" si="3"/>
        <v>#VALUE!</v>
      </c>
      <c r="G18" s="51" t="e">
        <f t="shared" si="3"/>
        <v>#VALUE!</v>
      </c>
      <c r="H18" s="51" t="e">
        <f t="shared" si="3"/>
        <v>#VALUE!</v>
      </c>
      <c r="I18" s="51" t="e">
        <f t="shared" si="3"/>
        <v>#VALUE!</v>
      </c>
      <c r="J18" s="51" t="e">
        <f t="shared" si="3"/>
        <v>#VALUE!</v>
      </c>
      <c r="K18" s="51" t="e">
        <f t="shared" si="3"/>
        <v>#VALUE!</v>
      </c>
      <c r="L18" s="51" t="e">
        <f t="shared" si="3"/>
        <v>#VALUE!</v>
      </c>
      <c r="M18" s="51" t="e">
        <f t="shared" si="3"/>
        <v>#VALUE!</v>
      </c>
      <c r="N18" s="51" t="e">
        <f t="shared" si="3"/>
        <v>#VALUE!</v>
      </c>
      <c r="O18" s="51" t="e">
        <f t="shared" si="3"/>
        <v>#VALUE!</v>
      </c>
      <c r="P18" s="51" t="e">
        <f t="shared" si="3"/>
        <v>#VALUE!</v>
      </c>
      <c r="Q18" s="51" t="e">
        <f t="shared" si="3"/>
        <v>#VALUE!</v>
      </c>
      <c r="R18" s="51" t="e">
        <f t="shared" si="3"/>
        <v>#VALUE!</v>
      </c>
      <c r="S18" s="51" t="e">
        <f t="shared" si="3"/>
        <v>#VALUE!</v>
      </c>
      <c r="T18" s="51" t="e">
        <f t="shared" si="3"/>
        <v>#VALUE!</v>
      </c>
      <c r="U18" s="51" t="e">
        <f t="shared" si="3"/>
        <v>#VALUE!</v>
      </c>
      <c r="V18" s="51" t="e">
        <f t="shared" si="3"/>
        <v>#VALUE!</v>
      </c>
      <c r="W18" s="51" t="e">
        <f t="shared" si="3"/>
        <v>#VALUE!</v>
      </c>
      <c r="X18" s="51" t="e">
        <f t="shared" si="3"/>
        <v>#VALUE!</v>
      </c>
      <c r="Y18" s="51" t="e">
        <f t="shared" si="3"/>
        <v>#VALUE!</v>
      </c>
      <c r="Z18" s="51" t="e">
        <f t="shared" si="3"/>
        <v>#VALUE!</v>
      </c>
      <c r="AA18" s="51" t="e">
        <f t="shared" si="3"/>
        <v>#VALUE!</v>
      </c>
      <c r="AB18" s="51" t="e">
        <f t="shared" si="3"/>
        <v>#VALUE!</v>
      </c>
      <c r="AC18" s="51" t="e">
        <f t="shared" si="3"/>
        <v>#VALUE!</v>
      </c>
    </row>
    <row r="19" ht="15" customHeight="1" spans="1:29">
      <c r="A19" s="49">
        <v>4</v>
      </c>
      <c r="B19" s="53" t="s">
        <v>591</v>
      </c>
      <c r="C19" s="51"/>
      <c r="D19" s="51">
        <f>IF(COLUMN()-3&lt;=基本参数!$B$4,C19+D18,0)</f>
        <v>0</v>
      </c>
      <c r="E19" s="51" t="e">
        <f>IF(COLUMN()-3&lt;=基本参数!$B$4,D19+E18,0)</f>
        <v>#VALUE!</v>
      </c>
      <c r="F19" s="51" t="e">
        <f>IF(COLUMN()-3&lt;=基本参数!$B$4,E19+F18,0)</f>
        <v>#VALUE!</v>
      </c>
      <c r="G19" s="51" t="e">
        <f>IF(COLUMN()-3&lt;=基本参数!$B$4,F19+G18,0)</f>
        <v>#VALUE!</v>
      </c>
      <c r="H19" s="51" t="e">
        <f>IF(COLUMN()-3&lt;=基本参数!$B$4,G19+H18,0)</f>
        <v>#VALUE!</v>
      </c>
      <c r="I19" s="51" t="e">
        <f>IF(COLUMN()-3&lt;=基本参数!$B$4,H19+I18,0)</f>
        <v>#VALUE!</v>
      </c>
      <c r="J19" s="51" t="e">
        <f>IF(COLUMN()-3&lt;=基本参数!$B$4,I19+J18,0)</f>
        <v>#VALUE!</v>
      </c>
      <c r="K19" s="51" t="e">
        <f>IF(COLUMN()-3&lt;=基本参数!$B$4,J19+K18,0)</f>
        <v>#VALUE!</v>
      </c>
      <c r="L19" s="51" t="e">
        <f>IF(COLUMN()-3&lt;=基本参数!$B$4,K19+L18,0)</f>
        <v>#VALUE!</v>
      </c>
      <c r="M19" s="51" t="e">
        <f>IF(COLUMN()-3&lt;=基本参数!$B$4,L19+M18,0)</f>
        <v>#VALUE!</v>
      </c>
      <c r="N19" s="51" t="e">
        <f>IF(COLUMN()-3&lt;=基本参数!$B$4,M19+N18,0)</f>
        <v>#VALUE!</v>
      </c>
      <c r="O19" s="51" t="e">
        <f>IF(COLUMN()-3&lt;=基本参数!$B$4,N19+O18,0)</f>
        <v>#VALUE!</v>
      </c>
      <c r="P19" s="51" t="e">
        <f>IF(COLUMN()-3&lt;=基本参数!$B$4,O19+P18,0)</f>
        <v>#VALUE!</v>
      </c>
      <c r="Q19" s="51" t="e">
        <f>IF(COLUMN()-3&lt;=基本参数!$B$4,P19+Q18,0)</f>
        <v>#VALUE!</v>
      </c>
      <c r="R19" s="51" t="e">
        <f>IF(COLUMN()-3&lt;=基本参数!$B$4,Q19+R18,0)</f>
        <v>#VALUE!</v>
      </c>
      <c r="S19" s="51" t="e">
        <f>IF(COLUMN()-3&lt;=基本参数!$B$4,R19+S18,0)</f>
        <v>#VALUE!</v>
      </c>
      <c r="T19" s="51" t="e">
        <f>IF(COLUMN()-3&lt;=基本参数!$B$4,S19+T18,0)</f>
        <v>#VALUE!</v>
      </c>
      <c r="U19" s="51" t="e">
        <f>IF(COLUMN()-3&lt;=基本参数!$B$4,T19+U18,0)</f>
        <v>#VALUE!</v>
      </c>
      <c r="V19" s="51" t="e">
        <f>IF(COLUMN()-3&lt;=基本参数!$B$4,U19+V18,0)</f>
        <v>#VALUE!</v>
      </c>
      <c r="W19" s="51" t="e">
        <f>IF(COLUMN()-3&lt;=基本参数!$B$4,V19+W18,0)</f>
        <v>#VALUE!</v>
      </c>
      <c r="X19" s="51" t="e">
        <f>IF(COLUMN()-3&lt;=基本参数!$B$4,W19+X18,0)</f>
        <v>#VALUE!</v>
      </c>
      <c r="Y19" s="51" t="e">
        <f>IF(COLUMN()-3&lt;=基本参数!$B$4,X19+Y18,0)</f>
        <v>#VALUE!</v>
      </c>
      <c r="Z19" s="51" t="e">
        <f>IF(COLUMN()-3&lt;=基本参数!$B$4,Y19+Z18,0)</f>
        <v>#VALUE!</v>
      </c>
      <c r="AA19" s="51" t="e">
        <f>IF(COLUMN()-3&lt;=基本参数!$B$4,Z19+AA18,0)</f>
        <v>#VALUE!</v>
      </c>
      <c r="AB19" s="51" t="e">
        <f>IF(COLUMN()-3&lt;=基本参数!$B$4,AA19+AB18,0)</f>
        <v>#VALUE!</v>
      </c>
      <c r="AC19" s="51">
        <f>IF(COLUMN()-3&lt;=基本参数!$B$4,AB19+AC18,0)</f>
        <v>0</v>
      </c>
    </row>
    <row r="20" ht="15" customHeight="1" spans="1:29">
      <c r="A20" s="49">
        <v>5</v>
      </c>
      <c r="B20" s="53" t="s">
        <v>592</v>
      </c>
      <c r="C20" s="51" t="e">
        <f>SUM(D20:AC20)</f>
        <v>#VALUE!</v>
      </c>
      <c r="D20" s="51">
        <f>IF(利润与利润分配表!D29*收入和税金!C23/100&gt;0,利润与利润分配表!D29*收入和税金!C23/100,0)</f>
        <v>0</v>
      </c>
      <c r="E20" s="51" t="e">
        <f>IF(利润与利润分配表!E29*收入和税金!D23/100&gt;0,利润与利润分配表!E29*收入和税金!D23/100,0)</f>
        <v>#VALUE!</v>
      </c>
      <c r="F20" s="51" t="e">
        <f>IF(利润与利润分配表!F29*收入和税金!E23/100&gt;0,利润与利润分配表!F29*收入和税金!E23/100,0)</f>
        <v>#VALUE!</v>
      </c>
      <c r="G20" s="51" t="e">
        <f>IF(利润与利润分配表!G29*收入和税金!F23/100&gt;0,利润与利润分配表!G29*收入和税金!F23/100,0)</f>
        <v>#VALUE!</v>
      </c>
      <c r="H20" s="51" t="e">
        <f>IF(利润与利润分配表!H29*收入和税金!G23/100&gt;0,利润与利润分配表!H29*收入和税金!G23/100,0)</f>
        <v>#VALUE!</v>
      </c>
      <c r="I20" s="51" t="e">
        <f>IF(利润与利润分配表!I29*收入和税金!H23/100&gt;0,利润与利润分配表!I29*收入和税金!H23/100,0)</f>
        <v>#VALUE!</v>
      </c>
      <c r="J20" s="51" t="e">
        <f>IF(利润与利润分配表!J29*收入和税金!I23/100&gt;0,利润与利润分配表!J29*收入和税金!I23/100,0)</f>
        <v>#VALUE!</v>
      </c>
      <c r="K20" s="51" t="e">
        <f>IF(利润与利润分配表!K29*收入和税金!J23/100&gt;0,利润与利润分配表!K29*收入和税金!J23/100,0)</f>
        <v>#VALUE!</v>
      </c>
      <c r="L20" s="51" t="e">
        <f>IF(利润与利润分配表!L29*收入和税金!K23/100&gt;0,利润与利润分配表!L29*收入和税金!K23/100,0)</f>
        <v>#VALUE!</v>
      </c>
      <c r="M20" s="51" t="e">
        <f>IF(利润与利润分配表!M29*收入和税金!L23/100&gt;0,利润与利润分配表!M29*收入和税金!L23/100,0)</f>
        <v>#VALUE!</v>
      </c>
      <c r="N20" s="51" t="e">
        <f>IF(利润与利润分配表!N29*收入和税金!M23/100&gt;0,利润与利润分配表!N29*收入和税金!M23/100,0)</f>
        <v>#VALUE!</v>
      </c>
      <c r="O20" s="51" t="e">
        <f>IF(利润与利润分配表!O29*收入和税金!N23/100&gt;0,利润与利润分配表!O29*收入和税金!N23/100,0)</f>
        <v>#VALUE!</v>
      </c>
      <c r="P20" s="51" t="e">
        <f>IF(利润与利润分配表!P29*收入和税金!O23/100&gt;0,利润与利润分配表!P29*收入和税金!O23/100,0)</f>
        <v>#VALUE!</v>
      </c>
      <c r="Q20" s="51" t="e">
        <f>IF(利润与利润分配表!Q29*收入和税金!P23/100&gt;0,利润与利润分配表!Q29*收入和税金!P23/100,0)</f>
        <v>#VALUE!</v>
      </c>
      <c r="R20" s="51" t="e">
        <f>IF(利润与利润分配表!R29*收入和税金!Q23/100&gt;0,利润与利润分配表!R29*收入和税金!Q23/100,0)</f>
        <v>#VALUE!</v>
      </c>
      <c r="S20" s="51" t="e">
        <f>IF(利润与利润分配表!S29*收入和税金!R23/100&gt;0,利润与利润分配表!S29*收入和税金!R23/100,0)</f>
        <v>#VALUE!</v>
      </c>
      <c r="T20" s="51" t="e">
        <f>IF(利润与利润分配表!T29*收入和税金!S23/100&gt;0,利润与利润分配表!T29*收入和税金!S23/100,0)</f>
        <v>#VALUE!</v>
      </c>
      <c r="U20" s="51" t="e">
        <f>IF(利润与利润分配表!U29*收入和税金!T23/100&gt;0,利润与利润分配表!U29*收入和税金!T23/100,0)</f>
        <v>#VALUE!</v>
      </c>
      <c r="V20" s="51" t="e">
        <f>IF(利润与利润分配表!V29*收入和税金!U23/100&gt;0,利润与利润分配表!V29*收入和税金!U23/100,0)</f>
        <v>#VALUE!</v>
      </c>
      <c r="W20" s="51" t="e">
        <f>IF(利润与利润分配表!W29*收入和税金!V23/100&gt;0,利润与利润分配表!W29*收入和税金!V23/100,0)</f>
        <v>#VALUE!</v>
      </c>
      <c r="X20" s="51" t="e">
        <f>IF(利润与利润分配表!X29*收入和税金!W23/100&gt;0,利润与利润分配表!X29*收入和税金!W23/100,0)</f>
        <v>#VALUE!</v>
      </c>
      <c r="Y20" s="51" t="e">
        <f>IF(利润与利润分配表!Y29*收入和税金!X23/100&gt;0,利润与利润分配表!Y29*收入和税金!X23/100,0)</f>
        <v>#VALUE!</v>
      </c>
      <c r="Z20" s="51" t="e">
        <f>IF(利润与利润分配表!Z29*收入和税金!Y23/100&gt;0,利润与利润分配表!Z29*收入和税金!Y23/100,0)</f>
        <v>#VALUE!</v>
      </c>
      <c r="AA20" s="51" t="e">
        <f>IF(利润与利润分配表!AA29*收入和税金!Z23/100&gt;0,利润与利润分配表!AA29*收入和税金!Z23/100,0)</f>
        <v>#VALUE!</v>
      </c>
      <c r="AB20" s="51" t="e">
        <f>IF(利润与利润分配表!AB29*收入和税金!AA23/100&gt;0,利润与利润分配表!AB29*收入和税金!AA23/100,0)</f>
        <v>#VALUE!</v>
      </c>
      <c r="AC20" s="51" t="e">
        <f>IF(利润与利润分配表!AC29*收入和税金!AB23/100&gt;0,利润与利润分配表!AC29*收入和税金!AB23/100,0)</f>
        <v>#VALUE!</v>
      </c>
    </row>
    <row r="21" ht="15" customHeight="1" spans="1:29">
      <c r="A21" s="49">
        <v>6</v>
      </c>
      <c r="B21" s="53" t="s">
        <v>593</v>
      </c>
      <c r="C21" s="51" t="e">
        <f>SUM(D21:AC21)</f>
        <v>#VALUE!</v>
      </c>
      <c r="D21" s="51">
        <f t="shared" ref="D21:AC21" si="4">D18-D20</f>
        <v>0</v>
      </c>
      <c r="E21" s="51" t="e">
        <f t="shared" si="4"/>
        <v>#VALUE!</v>
      </c>
      <c r="F21" s="51" t="e">
        <f t="shared" si="4"/>
        <v>#VALUE!</v>
      </c>
      <c r="G21" s="51" t="e">
        <f t="shared" si="4"/>
        <v>#VALUE!</v>
      </c>
      <c r="H21" s="51" t="e">
        <f t="shared" si="4"/>
        <v>#VALUE!</v>
      </c>
      <c r="I21" s="51" t="e">
        <f t="shared" si="4"/>
        <v>#VALUE!</v>
      </c>
      <c r="J21" s="51" t="e">
        <f t="shared" si="4"/>
        <v>#VALUE!</v>
      </c>
      <c r="K21" s="51" t="e">
        <f t="shared" si="4"/>
        <v>#VALUE!</v>
      </c>
      <c r="L21" s="51" t="e">
        <f t="shared" si="4"/>
        <v>#VALUE!</v>
      </c>
      <c r="M21" s="51" t="e">
        <f t="shared" si="4"/>
        <v>#VALUE!</v>
      </c>
      <c r="N21" s="51" t="e">
        <f t="shared" si="4"/>
        <v>#VALUE!</v>
      </c>
      <c r="O21" s="51" t="e">
        <f t="shared" si="4"/>
        <v>#VALUE!</v>
      </c>
      <c r="P21" s="51" t="e">
        <f t="shared" si="4"/>
        <v>#VALUE!</v>
      </c>
      <c r="Q21" s="51" t="e">
        <f t="shared" si="4"/>
        <v>#VALUE!</v>
      </c>
      <c r="R21" s="51" t="e">
        <f t="shared" si="4"/>
        <v>#VALUE!</v>
      </c>
      <c r="S21" s="51" t="e">
        <f t="shared" si="4"/>
        <v>#VALUE!</v>
      </c>
      <c r="T21" s="51" t="e">
        <f t="shared" si="4"/>
        <v>#VALUE!</v>
      </c>
      <c r="U21" s="51" t="e">
        <f t="shared" si="4"/>
        <v>#VALUE!</v>
      </c>
      <c r="V21" s="51" t="e">
        <f t="shared" si="4"/>
        <v>#VALUE!</v>
      </c>
      <c r="W21" s="51" t="e">
        <f t="shared" si="4"/>
        <v>#VALUE!</v>
      </c>
      <c r="X21" s="51" t="e">
        <f t="shared" si="4"/>
        <v>#VALUE!</v>
      </c>
      <c r="Y21" s="51" t="e">
        <f t="shared" si="4"/>
        <v>#VALUE!</v>
      </c>
      <c r="Z21" s="51" t="e">
        <f t="shared" si="4"/>
        <v>#VALUE!</v>
      </c>
      <c r="AA21" s="51" t="e">
        <f t="shared" si="4"/>
        <v>#VALUE!</v>
      </c>
      <c r="AB21" s="51" t="e">
        <f t="shared" si="4"/>
        <v>#VALUE!</v>
      </c>
      <c r="AC21" s="51" t="e">
        <f t="shared" si="4"/>
        <v>#VALUE!</v>
      </c>
    </row>
    <row r="22" ht="15" customHeight="1" spans="1:29">
      <c r="A22" s="49">
        <v>7</v>
      </c>
      <c r="B22" s="53" t="s">
        <v>594</v>
      </c>
      <c r="C22" s="51"/>
      <c r="D22" s="51">
        <f>IF(COLUMN()-4&lt;=基本参数!$B$4,C22+D21,0)</f>
        <v>0</v>
      </c>
      <c r="E22" s="51" t="e">
        <f>IF(COLUMN()-4&lt;=基本参数!$B$4,D22+E21,0)</f>
        <v>#VALUE!</v>
      </c>
      <c r="F22" s="51" t="e">
        <f>IF(COLUMN()-4&lt;=基本参数!$B$4,E22+F21,0)</f>
        <v>#VALUE!</v>
      </c>
      <c r="G22" s="51" t="e">
        <f>IF(COLUMN()-4&lt;=基本参数!$B$4,F22+G21,0)</f>
        <v>#VALUE!</v>
      </c>
      <c r="H22" s="51" t="e">
        <f>IF(COLUMN()-4&lt;=基本参数!$B$4,G22+H21,0)</f>
        <v>#VALUE!</v>
      </c>
      <c r="I22" s="51" t="e">
        <f>IF(COLUMN()-4&lt;=基本参数!$B$4,H22+I21,0)</f>
        <v>#VALUE!</v>
      </c>
      <c r="J22" s="51" t="e">
        <f>IF(COLUMN()-4&lt;=基本参数!$B$4,I22+J21,0)</f>
        <v>#VALUE!</v>
      </c>
      <c r="K22" s="51" t="e">
        <f>IF(COLUMN()-4&lt;=基本参数!$B$4,J22+K21,0)</f>
        <v>#VALUE!</v>
      </c>
      <c r="L22" s="51" t="e">
        <f>IF(COLUMN()-4&lt;=基本参数!$B$4,K22+L21,0)</f>
        <v>#VALUE!</v>
      </c>
      <c r="M22" s="51" t="e">
        <f>IF(COLUMN()-4&lt;=基本参数!$B$4,L22+M21,0)</f>
        <v>#VALUE!</v>
      </c>
      <c r="N22" s="51" t="e">
        <f>IF(COLUMN()-4&lt;=基本参数!$B$4,M22+N21,0)</f>
        <v>#VALUE!</v>
      </c>
      <c r="O22" s="51" t="e">
        <f>IF(COLUMN()-4&lt;=基本参数!$B$4,N22+O21,0)</f>
        <v>#VALUE!</v>
      </c>
      <c r="P22" s="51" t="e">
        <f>IF(COLUMN()-4&lt;=基本参数!$B$4,O22+P21,0)</f>
        <v>#VALUE!</v>
      </c>
      <c r="Q22" s="51" t="e">
        <f>IF(COLUMN()-4&lt;=基本参数!$B$4,P22+Q21,0)</f>
        <v>#VALUE!</v>
      </c>
      <c r="R22" s="51" t="e">
        <f>IF(COLUMN()-4&lt;=基本参数!$B$4,Q22+R21,0)</f>
        <v>#VALUE!</v>
      </c>
      <c r="S22" s="51" t="e">
        <f>IF(COLUMN()-4&lt;=基本参数!$B$4,R22+S21,0)</f>
        <v>#VALUE!</v>
      </c>
      <c r="T22" s="51" t="e">
        <f>IF(COLUMN()-4&lt;=基本参数!$B$4,S22+T21,0)</f>
        <v>#VALUE!</v>
      </c>
      <c r="U22" s="51" t="e">
        <f>IF(COLUMN()-4&lt;=基本参数!$B$4,T22+U21,0)</f>
        <v>#VALUE!</v>
      </c>
      <c r="V22" s="51" t="e">
        <f>IF(COLUMN()-4&lt;=基本参数!$B$4,U22+V21,0)</f>
        <v>#VALUE!</v>
      </c>
      <c r="W22" s="51" t="e">
        <f>IF(COLUMN()-4&lt;=基本参数!$B$4,V22+W21,0)</f>
        <v>#VALUE!</v>
      </c>
      <c r="X22" s="51" t="e">
        <f>IF(COLUMN()-4&lt;=基本参数!$B$4,W22+X21,0)</f>
        <v>#VALUE!</v>
      </c>
      <c r="Y22" s="51" t="e">
        <f>IF(COLUMN()-4&lt;=基本参数!$B$4,X22+Y21,0)</f>
        <v>#VALUE!</v>
      </c>
      <c r="Z22" s="51" t="e">
        <f>IF(COLUMN()-4&lt;=基本参数!$B$4,Y22+Z21,0)</f>
        <v>#VALUE!</v>
      </c>
      <c r="AA22" s="51" t="e">
        <f>IF(COLUMN()-4&lt;=基本参数!$B$4,Z22+AA21,0)</f>
        <v>#VALUE!</v>
      </c>
      <c r="AB22" s="51" t="e">
        <f>IF(COLUMN()-4&lt;=基本参数!$B$4,AA22+AB21,0)</f>
        <v>#VALUE!</v>
      </c>
      <c r="AC22" s="51" t="e">
        <f>IF(COLUMN()-4&lt;=基本参数!$B$4,AB22+AC21,0)</f>
        <v>#VALUE!</v>
      </c>
    </row>
    <row r="23" ht="15" customHeight="1" spans="1:29">
      <c r="A23" s="75" t="s">
        <v>595</v>
      </c>
      <c r="B23" s="80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 ht="15" customHeight="1" spans="1:29">
      <c r="A24" s="75" t="s">
        <v>596</v>
      </c>
      <c r="B24" s="80"/>
      <c r="C24" s="77" t="e">
        <f>IRR(D18:AC18)*100</f>
        <v>#VALUE!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 ht="15" customHeight="1" spans="1:29">
      <c r="A25" s="75" t="s">
        <v>597</v>
      </c>
      <c r="B25" s="80"/>
      <c r="C25" s="77" t="e">
        <f>IRR(D21:AC21)*100</f>
        <v>#VALUE!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 ht="15" customHeight="1" spans="1:29">
      <c r="A26" s="75" t="s">
        <v>598</v>
      </c>
      <c r="B26" s="80"/>
      <c r="C26" s="77" t="e">
        <f>NPV(基本参数!B23/100,D18:AC18)</f>
        <v>#VALUE!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ht="15" customHeight="1" spans="1:29">
      <c r="A27" s="75" t="s">
        <v>599</v>
      </c>
      <c r="B27" s="80"/>
      <c r="C27" s="77" t="e">
        <f>NPV(基本参数!B24/100,D21:AC21)</f>
        <v>#VALUE!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 ht="15" customHeight="1" spans="1:29">
      <c r="A28" s="75" t="s">
        <v>600</v>
      </c>
      <c r="B28" s="80"/>
      <c r="C28" s="77" t="e">
        <f>MATCH(0-10^-100,D19:AC19,1)-LOOKUP(0-10^-100,D19:AC19)/INDEX(D18:AC18,MATCH(0-10^-100,D19:AC19,1)+1)</f>
        <v>#N/A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 ht="15" customHeight="1" spans="1:29">
      <c r="A29" s="75" t="s">
        <v>601</v>
      </c>
      <c r="B29" s="80"/>
      <c r="C29" s="77" t="e">
        <f>MATCH(0-10^-100,D22:AC22,1)-LOOKUP(0-10^-100,D22:AC22)/INDEX(D21:AC21,MATCH(0-10^-100,D22:AC22,1)+1)</f>
        <v>#N/A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 ht="15" customHeight="1" spans="1:29">
      <c r="A30" s="75" t="s">
        <v>602</v>
      </c>
      <c r="B30" s="80"/>
      <c r="C30" s="77" t="e">
        <f>MATCH(0-10^-100,D33:AC33,1)-LOOKUP(0-10^-100,D33:AC33)/INDEX(D32:AC32,MATCH(0-10^-100,D33:AC33,1)+1)</f>
        <v>#N/A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  <row r="31" ht="15" customHeight="1" spans="1:29">
      <c r="A31" s="75" t="s">
        <v>603</v>
      </c>
      <c r="B31" s="80"/>
      <c r="C31" s="77" t="e">
        <f>MATCH(0-10^-100,D35:AC35,1)-LOOKUP(0-10^-100,D35:AC35)/INDEX(D34:AC34,MATCH(0-10^-100,D35:AC35,1)+1)</f>
        <v>#N/A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 ht="17.25" hidden="1" customHeight="1" spans="1:29">
      <c r="A32" s="84" t="s">
        <v>507</v>
      </c>
      <c r="B32" s="85" t="s">
        <v>604</v>
      </c>
      <c r="C32" s="86"/>
      <c r="D32" s="57">
        <f>D18*(1+基本参数!$B$23%)^(1-(COLUMN()-3))</f>
        <v>0</v>
      </c>
      <c r="E32" s="57" t="e">
        <f>E18*(1+基本参数!$B$23%)^(1-(COLUMN()-3))</f>
        <v>#VALUE!</v>
      </c>
      <c r="F32" s="57" t="e">
        <f>F18*(1+基本参数!$B$23%)^(1-(COLUMN()-3))</f>
        <v>#VALUE!</v>
      </c>
      <c r="G32" s="57" t="e">
        <f>G18*(1+基本参数!$B$23%)^(1-(COLUMN()-3))</f>
        <v>#VALUE!</v>
      </c>
      <c r="H32" s="57" t="e">
        <f>H18*(1+基本参数!$B$23%)^(1-(COLUMN()-3))</f>
        <v>#VALUE!</v>
      </c>
      <c r="I32" s="57" t="e">
        <f>I18*(1+基本参数!$B$23%)^(1-(COLUMN()-3))</f>
        <v>#VALUE!</v>
      </c>
      <c r="J32" s="57" t="e">
        <f>J18*(1+基本参数!$B$23%)^(1-(COLUMN()-3))</f>
        <v>#VALUE!</v>
      </c>
      <c r="K32" s="57" t="e">
        <f>K18*(1+基本参数!$B$23%)^(1-(COLUMN()-3))</f>
        <v>#VALUE!</v>
      </c>
      <c r="L32" s="57" t="e">
        <f>L18*(1+基本参数!$B$23%)^(1-(COLUMN()-3))</f>
        <v>#VALUE!</v>
      </c>
      <c r="M32" s="57" t="e">
        <f>M18*(1+基本参数!$B$23%)^(1-(COLUMN()-3))</f>
        <v>#VALUE!</v>
      </c>
      <c r="N32" s="57" t="e">
        <f>N18*(1+基本参数!$B$23%)^(1-(COLUMN()-3))</f>
        <v>#VALUE!</v>
      </c>
      <c r="O32" s="57" t="e">
        <f>O18*(1+基本参数!$B$23%)^(1-(COLUMN()-3))</f>
        <v>#VALUE!</v>
      </c>
      <c r="P32" s="57" t="e">
        <f>P18*(1+基本参数!$B$23%)^(1-(COLUMN()-3))</f>
        <v>#VALUE!</v>
      </c>
      <c r="Q32" s="57" t="e">
        <f>Q18*(1+基本参数!$B$23%)^(1-(COLUMN()-3))</f>
        <v>#VALUE!</v>
      </c>
      <c r="R32" s="57" t="e">
        <f>R18*(1+基本参数!$B$23%)^(1-(COLUMN()-3))</f>
        <v>#VALUE!</v>
      </c>
      <c r="S32" s="57" t="e">
        <f>S18*(1+基本参数!$B$23%)^(1-(COLUMN()-3))</f>
        <v>#VALUE!</v>
      </c>
      <c r="T32" s="57" t="e">
        <f>T18*(1+基本参数!$B$23%)^(1-(COLUMN()-3))</f>
        <v>#VALUE!</v>
      </c>
      <c r="U32" s="57" t="e">
        <f>U18*(1+基本参数!$B$23%)^(1-(COLUMN()-3))</f>
        <v>#VALUE!</v>
      </c>
      <c r="V32" s="57" t="e">
        <f>V18*(1+基本参数!$B$23%)^(1-(COLUMN()-3))</f>
        <v>#VALUE!</v>
      </c>
      <c r="W32" s="57" t="e">
        <f>W18*(1+基本参数!$B$23%)^(1-(COLUMN()-3))</f>
        <v>#VALUE!</v>
      </c>
      <c r="X32" s="57" t="e">
        <f>X18*(1+基本参数!$B$23%)^(1-(COLUMN()-3))</f>
        <v>#VALUE!</v>
      </c>
      <c r="Y32" s="57" t="e">
        <f>Y18*(1+基本参数!$B$23%)^(1-(COLUMN()-3))</f>
        <v>#VALUE!</v>
      </c>
      <c r="Z32" s="57" t="e">
        <f>Z18*(1+基本参数!$B$23%)^(1-(COLUMN()-3))</f>
        <v>#VALUE!</v>
      </c>
      <c r="AA32" s="57" t="e">
        <f>AA18*(1+基本参数!$B$23%)^(1-(COLUMN()-3))</f>
        <v>#VALUE!</v>
      </c>
      <c r="AB32" s="57" t="e">
        <f>AB18*(1+基本参数!$B$23%)^(1-(COLUMN()-3))</f>
        <v>#VALUE!</v>
      </c>
      <c r="AC32" s="57" t="e">
        <f>AC18*(1+基本参数!$B$23%)^(1-(COLUMN()-3))</f>
        <v>#VALUE!</v>
      </c>
    </row>
    <row r="33" ht="17.25" hidden="1" customHeight="1" spans="1:29">
      <c r="A33" s="87"/>
      <c r="B33" s="24" t="s">
        <v>605</v>
      </c>
      <c r="C33" s="29"/>
      <c r="D33" s="51">
        <f>IF(COLUMN()-3&lt;=基本参数!$B$2,C33+D32,0)</f>
        <v>0</v>
      </c>
      <c r="E33" s="51" t="e">
        <f>IF(COLUMN()-3&lt;=基本参数!$B$2,D33+E32,0)</f>
        <v>#VALUE!</v>
      </c>
      <c r="F33" s="51" t="e">
        <f>IF(COLUMN()-3&lt;=基本参数!$B$2,E33+F32,0)</f>
        <v>#VALUE!</v>
      </c>
      <c r="G33" s="51" t="e">
        <f>IF(COLUMN()-3&lt;=基本参数!$B$2,F33+G32,0)</f>
        <v>#VALUE!</v>
      </c>
      <c r="H33" s="51" t="e">
        <f>IF(COLUMN()-3&lt;=基本参数!$B$2,G33+H32,0)</f>
        <v>#VALUE!</v>
      </c>
      <c r="I33" s="51" t="e">
        <f>IF(COLUMN()-3&lt;=基本参数!$B$2,H33+I32,0)</f>
        <v>#VALUE!</v>
      </c>
      <c r="J33" s="51" t="e">
        <f>IF(COLUMN()-3&lt;=基本参数!$B$2,I33+J32,0)</f>
        <v>#VALUE!</v>
      </c>
      <c r="K33" s="51" t="e">
        <f>IF(COLUMN()-3&lt;=基本参数!$B$2,J33+K32,0)</f>
        <v>#VALUE!</v>
      </c>
      <c r="L33" s="51" t="e">
        <f>IF(COLUMN()-3&lt;=基本参数!$B$2,K33+L32,0)</f>
        <v>#VALUE!</v>
      </c>
      <c r="M33" s="51" t="e">
        <f>IF(COLUMN()-3&lt;=基本参数!$B$2,L33+M32,0)</f>
        <v>#VALUE!</v>
      </c>
      <c r="N33" s="51" t="e">
        <f>IF(COLUMN()-3&lt;=基本参数!$B$2,M33+N32,0)</f>
        <v>#VALUE!</v>
      </c>
      <c r="O33" s="51" t="e">
        <f>IF(COLUMN()-3&lt;=基本参数!$B$2,N33+O32,0)</f>
        <v>#VALUE!</v>
      </c>
      <c r="P33" s="51" t="e">
        <f>IF(COLUMN()-3&lt;=基本参数!$B$2,O33+P32,0)</f>
        <v>#VALUE!</v>
      </c>
      <c r="Q33" s="51" t="e">
        <f>IF(COLUMN()-3&lt;=基本参数!$B$2,P33+Q32,0)</f>
        <v>#VALUE!</v>
      </c>
      <c r="R33" s="51" t="e">
        <f>IF(COLUMN()-3&lt;=基本参数!$B$2,Q33+R32,0)</f>
        <v>#VALUE!</v>
      </c>
      <c r="S33" s="51" t="e">
        <f>IF(COLUMN()-3&lt;=基本参数!$B$2,R33+S32,0)</f>
        <v>#VALUE!</v>
      </c>
      <c r="T33" s="51" t="e">
        <f>IF(COLUMN()-3&lt;=基本参数!$B$2,S33+T32,0)</f>
        <v>#VALUE!</v>
      </c>
      <c r="U33" s="51" t="e">
        <f>IF(COLUMN()-3&lt;=基本参数!$B$2,T33+U32,0)</f>
        <v>#VALUE!</v>
      </c>
      <c r="V33" s="51" t="e">
        <f>IF(COLUMN()-3&lt;=基本参数!$B$2,U33+V32,0)</f>
        <v>#VALUE!</v>
      </c>
      <c r="W33" s="51" t="e">
        <f>IF(COLUMN()-3&lt;=基本参数!$B$2,V33+W32,0)</f>
        <v>#VALUE!</v>
      </c>
      <c r="X33" s="51" t="e">
        <f>IF(COLUMN()-3&lt;=基本参数!$B$2,W33+X32,0)</f>
        <v>#VALUE!</v>
      </c>
      <c r="Y33" s="51" t="e">
        <f>IF(COLUMN()-3&lt;=基本参数!$B$2,X33+Y32,0)</f>
        <v>#VALUE!</v>
      </c>
      <c r="Z33" s="51" t="e">
        <f>IF(COLUMN()-3&lt;=基本参数!$B$2,Y33+Z32,0)</f>
        <v>#VALUE!</v>
      </c>
      <c r="AA33" s="51" t="e">
        <f>IF(COLUMN()-3&lt;=基本参数!$B$2,Z33+AA32,0)</f>
        <v>#VALUE!</v>
      </c>
      <c r="AB33" s="51" t="e">
        <f>IF(COLUMN()-3&lt;=基本参数!$B$2,AA33+AB32,0)</f>
        <v>#VALUE!</v>
      </c>
      <c r="AC33" s="51" t="e">
        <f>IF(COLUMN()-3&lt;=基本参数!$B$2,AB33+AC32,0)</f>
        <v>#VALUE!</v>
      </c>
    </row>
    <row r="34" ht="17.25" hidden="1" customHeight="1" spans="1:29">
      <c r="A34" s="87"/>
      <c r="B34" s="24" t="s">
        <v>606</v>
      </c>
      <c r="C34" s="29"/>
      <c r="D34" s="51">
        <f>D21*(1+基本参数!$B$24%)^(1-(COLUMN()-3))</f>
        <v>0</v>
      </c>
      <c r="E34" s="51" t="e">
        <f>E21*(1+基本参数!$B$24%)^(1-(COLUMN()-3))</f>
        <v>#VALUE!</v>
      </c>
      <c r="F34" s="51" t="e">
        <f>F21*(1+基本参数!$B$24%)^(1-(COLUMN()-3))</f>
        <v>#VALUE!</v>
      </c>
      <c r="G34" s="51" t="e">
        <f>G21*(1+基本参数!$B$24%)^(1-(COLUMN()-3))</f>
        <v>#VALUE!</v>
      </c>
      <c r="H34" s="51" t="e">
        <f>H21*(1+基本参数!$B$24%)^(1-(COLUMN()-3))</f>
        <v>#VALUE!</v>
      </c>
      <c r="I34" s="51" t="e">
        <f>I21*(1+基本参数!$B$24%)^(1-(COLUMN()-3))</f>
        <v>#VALUE!</v>
      </c>
      <c r="J34" s="51" t="e">
        <f>J21*(1+基本参数!$B$24%)^(1-(COLUMN()-3))</f>
        <v>#VALUE!</v>
      </c>
      <c r="K34" s="51" t="e">
        <f>K21*(1+基本参数!$B$24%)^(1-(COLUMN()-3))</f>
        <v>#VALUE!</v>
      </c>
      <c r="L34" s="51" t="e">
        <f>L21*(1+基本参数!$B$24%)^(1-(COLUMN()-3))</f>
        <v>#VALUE!</v>
      </c>
      <c r="M34" s="51" t="e">
        <f>M21*(1+基本参数!$B$24%)^(1-(COLUMN()-3))</f>
        <v>#VALUE!</v>
      </c>
      <c r="N34" s="51" t="e">
        <f>N21*(1+基本参数!$B$24%)^(1-(COLUMN()-3))</f>
        <v>#VALUE!</v>
      </c>
      <c r="O34" s="51" t="e">
        <f>O21*(1+基本参数!$B$24%)^(1-(COLUMN()-3))</f>
        <v>#VALUE!</v>
      </c>
      <c r="P34" s="51" t="e">
        <f>P21*(1+基本参数!$B$24%)^(1-(COLUMN()-3))</f>
        <v>#VALUE!</v>
      </c>
      <c r="Q34" s="51" t="e">
        <f>Q21*(1+基本参数!$B$24%)^(1-(COLUMN()-3))</f>
        <v>#VALUE!</v>
      </c>
      <c r="R34" s="51" t="e">
        <f>R21*(1+基本参数!$B$24%)^(1-(COLUMN()-3))</f>
        <v>#VALUE!</v>
      </c>
      <c r="S34" s="51" t="e">
        <f>S21*(1+基本参数!$B$24%)^(1-(COLUMN()-3))</f>
        <v>#VALUE!</v>
      </c>
      <c r="T34" s="51" t="e">
        <f>T21*(1+基本参数!$B$24%)^(1-(COLUMN()-3))</f>
        <v>#VALUE!</v>
      </c>
      <c r="U34" s="51" t="e">
        <f>U21*(1+基本参数!$B$24%)^(1-(COLUMN()-3))</f>
        <v>#VALUE!</v>
      </c>
      <c r="V34" s="51" t="e">
        <f>V21*(1+基本参数!$B$24%)^(1-(COLUMN()-3))</f>
        <v>#VALUE!</v>
      </c>
      <c r="W34" s="51" t="e">
        <f>W21*(1+基本参数!$B$24%)^(1-(COLUMN()-3))</f>
        <v>#VALUE!</v>
      </c>
      <c r="X34" s="51" t="e">
        <f>X21*(1+基本参数!$B$24%)^(1-(COLUMN()-3))</f>
        <v>#VALUE!</v>
      </c>
      <c r="Y34" s="51" t="e">
        <f>Y21*(1+基本参数!$B$24%)^(1-(COLUMN()-3))</f>
        <v>#VALUE!</v>
      </c>
      <c r="Z34" s="51" t="e">
        <f>Z21*(1+基本参数!$B$24%)^(1-(COLUMN()-3))</f>
        <v>#VALUE!</v>
      </c>
      <c r="AA34" s="51" t="e">
        <f>AA21*(1+基本参数!$B$24%)^(1-(COLUMN()-3))</f>
        <v>#VALUE!</v>
      </c>
      <c r="AB34" s="51" t="e">
        <f>AB21*(1+基本参数!$B$24%)^(1-(COLUMN()-3))</f>
        <v>#VALUE!</v>
      </c>
      <c r="AC34" s="51" t="e">
        <f>AC21*(1+基本参数!$B$24%)^(1-(COLUMN()-3))</f>
        <v>#VALUE!</v>
      </c>
    </row>
    <row r="35" ht="17.25" hidden="1" customHeight="1" spans="1:29">
      <c r="A35" s="88"/>
      <c r="B35" s="24" t="s">
        <v>607</v>
      </c>
      <c r="C35" s="29"/>
      <c r="D35" s="51">
        <f>IF(COLUMN()-3&lt;=基本参数!$B$2,C35+D34,0)</f>
        <v>0</v>
      </c>
      <c r="E35" s="51" t="e">
        <f>IF(COLUMN()-3&lt;=基本参数!$B$2,D35+E34,0)</f>
        <v>#VALUE!</v>
      </c>
      <c r="F35" s="51" t="e">
        <f>IF(COLUMN()-3&lt;=基本参数!$B$2,E35+F34,0)</f>
        <v>#VALUE!</v>
      </c>
      <c r="G35" s="51" t="e">
        <f>IF(COLUMN()-3&lt;=基本参数!$B$2,F35+G34,0)</f>
        <v>#VALUE!</v>
      </c>
      <c r="H35" s="51" t="e">
        <f>IF(COLUMN()-3&lt;=基本参数!$B$2,G35+H34,0)</f>
        <v>#VALUE!</v>
      </c>
      <c r="I35" s="51" t="e">
        <f>IF(COLUMN()-3&lt;=基本参数!$B$2,H35+I34,0)</f>
        <v>#VALUE!</v>
      </c>
      <c r="J35" s="51" t="e">
        <f>IF(COLUMN()-3&lt;=基本参数!$B$2,I35+J34,0)</f>
        <v>#VALUE!</v>
      </c>
      <c r="K35" s="51" t="e">
        <f>IF(COLUMN()-3&lt;=基本参数!$B$2,J35+K34,0)</f>
        <v>#VALUE!</v>
      </c>
      <c r="L35" s="51" t="e">
        <f>IF(COLUMN()-3&lt;=基本参数!$B$2,K35+L34,0)</f>
        <v>#VALUE!</v>
      </c>
      <c r="M35" s="51" t="e">
        <f>IF(COLUMN()-3&lt;=基本参数!$B$2,L35+M34,0)</f>
        <v>#VALUE!</v>
      </c>
      <c r="N35" s="51" t="e">
        <f>IF(COLUMN()-3&lt;=基本参数!$B$2,M35+N34,0)</f>
        <v>#VALUE!</v>
      </c>
      <c r="O35" s="51" t="e">
        <f>IF(COLUMN()-3&lt;=基本参数!$B$2,N35+O34,0)</f>
        <v>#VALUE!</v>
      </c>
      <c r="P35" s="51" t="e">
        <f>IF(COLUMN()-3&lt;=基本参数!$B$2,O35+P34,0)</f>
        <v>#VALUE!</v>
      </c>
      <c r="Q35" s="51" t="e">
        <f>IF(COLUMN()-3&lt;=基本参数!$B$2,P35+Q34,0)</f>
        <v>#VALUE!</v>
      </c>
      <c r="R35" s="51" t="e">
        <f>IF(COLUMN()-3&lt;=基本参数!$B$2,Q35+R34,0)</f>
        <v>#VALUE!</v>
      </c>
      <c r="S35" s="51" t="e">
        <f>IF(COLUMN()-3&lt;=基本参数!$B$2,R35+S34,0)</f>
        <v>#VALUE!</v>
      </c>
      <c r="T35" s="51" t="e">
        <f>IF(COLUMN()-3&lt;=基本参数!$B$2,S35+T34,0)</f>
        <v>#VALUE!</v>
      </c>
      <c r="U35" s="51" t="e">
        <f>IF(COLUMN()-3&lt;=基本参数!$B$2,T35+U34,0)</f>
        <v>#VALUE!</v>
      </c>
      <c r="V35" s="51" t="e">
        <f>IF(COLUMN()-3&lt;=基本参数!$B$2,U35+V34,0)</f>
        <v>#VALUE!</v>
      </c>
      <c r="W35" s="51" t="e">
        <f>IF(COLUMN()-3&lt;=基本参数!$B$2,V35+W34,0)</f>
        <v>#VALUE!</v>
      </c>
      <c r="X35" s="51" t="e">
        <f>IF(COLUMN()-3&lt;=基本参数!$B$2,W35+X34,0)</f>
        <v>#VALUE!</v>
      </c>
      <c r="Y35" s="51" t="e">
        <f>IF(COLUMN()-3&lt;=基本参数!$B$2,X35+Y34,0)</f>
        <v>#VALUE!</v>
      </c>
      <c r="Z35" s="51" t="e">
        <f>IF(COLUMN()-3&lt;=基本参数!$B$2,Y35+Z34,0)</f>
        <v>#VALUE!</v>
      </c>
      <c r="AA35" s="51" t="e">
        <f>IF(COLUMN()-3&lt;=基本参数!$B$2,Z35+AA34,0)</f>
        <v>#VALUE!</v>
      </c>
      <c r="AB35" s="51" t="e">
        <f>IF(COLUMN()-3&lt;=基本参数!$B$2,AA35+AB34,0)</f>
        <v>#VALUE!</v>
      </c>
      <c r="AC35" s="51" t="e">
        <f>IF(COLUMN()-3&lt;=基本参数!$B$2,AB35+AC34,0)</f>
        <v>#VALUE!</v>
      </c>
    </row>
  </sheetData>
  <mergeCells count="16">
    <mergeCell ref="A1:AC1"/>
    <mergeCell ref="A2:AC2"/>
    <mergeCell ref="E3:AC3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:A4"/>
    <mergeCell ref="A32:A35"/>
    <mergeCell ref="B3:B4"/>
    <mergeCell ref="C3:C4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27"/>
  <sheetViews>
    <sheetView workbookViewId="0">
      <pane xSplit="3" topLeftCell="D1" activePane="topRight" state="frozen"/>
      <selection/>
      <selection pane="topRight" activeCell="A1" sqref="A1:AC1"/>
    </sheetView>
  </sheetViews>
  <sheetFormatPr defaultColWidth="8.83333333333333" defaultRowHeight="13.5"/>
  <cols>
    <col min="1" max="1" width="8.83333333333333" style="71" customWidth="1"/>
    <col min="2" max="2" width="24.8333333333333" customWidth="1"/>
    <col min="3" max="29" width="12.8333333333333" style="3" customWidth="1"/>
  </cols>
  <sheetData>
    <row r="1" ht="24" customHeight="1" spans="1:29">
      <c r="A1" s="16" t="s">
        <v>608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ht="15" customHeight="1" spans="1:29">
      <c r="A2" s="37" t="s">
        <v>464</v>
      </c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ht="15" customHeight="1" spans="1:29">
      <c r="A3" s="40" t="s">
        <v>1</v>
      </c>
      <c r="B3" s="65" t="s">
        <v>2</v>
      </c>
      <c r="C3" s="72" t="s">
        <v>465</v>
      </c>
      <c r="D3" s="42" t="s">
        <v>481</v>
      </c>
      <c r="E3" s="42" t="s">
        <v>482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ht="15" customHeight="1" spans="1:29">
      <c r="A4" s="73"/>
      <c r="B4" s="21"/>
      <c r="C4" s="42"/>
      <c r="D4" s="22" t="s">
        <v>278</v>
      </c>
      <c r="E4" s="74" t="s">
        <v>279</v>
      </c>
      <c r="F4" s="74" t="s">
        <v>280</v>
      </c>
      <c r="G4" s="74" t="s">
        <v>281</v>
      </c>
      <c r="H4" s="74" t="s">
        <v>282</v>
      </c>
      <c r="I4" s="74" t="s">
        <v>327</v>
      </c>
      <c r="J4" s="74" t="s">
        <v>328</v>
      </c>
      <c r="K4" s="74" t="s">
        <v>329</v>
      </c>
      <c r="L4" s="74" t="s">
        <v>330</v>
      </c>
      <c r="M4" s="74" t="s">
        <v>331</v>
      </c>
      <c r="N4" s="74" t="s">
        <v>332</v>
      </c>
      <c r="O4" s="74" t="s">
        <v>333</v>
      </c>
      <c r="P4" s="74" t="s">
        <v>334</v>
      </c>
      <c r="Q4" s="74" t="s">
        <v>335</v>
      </c>
      <c r="R4" s="74" t="s">
        <v>336</v>
      </c>
      <c r="S4" s="74" t="s">
        <v>337</v>
      </c>
      <c r="T4" s="74" t="s">
        <v>338</v>
      </c>
      <c r="U4" s="74" t="s">
        <v>339</v>
      </c>
      <c r="V4" s="74" t="s">
        <v>340</v>
      </c>
      <c r="W4" s="74" t="s">
        <v>341</v>
      </c>
      <c r="X4" s="74" t="s">
        <v>342</v>
      </c>
      <c r="Y4" s="74" t="s">
        <v>343</v>
      </c>
      <c r="Z4" s="74" t="s">
        <v>344</v>
      </c>
      <c r="AA4" s="74" t="s">
        <v>345</v>
      </c>
      <c r="AB4" s="74" t="s">
        <v>346</v>
      </c>
      <c r="AC4" s="74" t="s">
        <v>347</v>
      </c>
    </row>
    <row r="5" ht="15" customHeight="1" spans="1:29">
      <c r="A5" s="49">
        <v>1</v>
      </c>
      <c r="B5" s="24" t="s">
        <v>550</v>
      </c>
      <c r="C5" s="51" t="e">
        <f t="shared" ref="C5:C10" si="0">SUM(D5:AC5)</f>
        <v>#VALUE!</v>
      </c>
      <c r="D5" s="51">
        <f t="shared" ref="D5:AC5" si="1">SUM(D6:D10)</f>
        <v>0</v>
      </c>
      <c r="E5" s="51" t="e">
        <f t="shared" si="1"/>
        <v>#VALUE!</v>
      </c>
      <c r="F5" s="51" t="e">
        <f t="shared" si="1"/>
        <v>#VALUE!</v>
      </c>
      <c r="G5" s="51" t="e">
        <f t="shared" si="1"/>
        <v>#VALUE!</v>
      </c>
      <c r="H5" s="51" t="e">
        <f t="shared" si="1"/>
        <v>#VALUE!</v>
      </c>
      <c r="I5" s="51" t="e">
        <f t="shared" si="1"/>
        <v>#VALUE!</v>
      </c>
      <c r="J5" s="51" t="e">
        <f t="shared" si="1"/>
        <v>#VALUE!</v>
      </c>
      <c r="K5" s="51" t="e">
        <f t="shared" si="1"/>
        <v>#VALUE!</v>
      </c>
      <c r="L5" s="51" t="e">
        <f t="shared" si="1"/>
        <v>#VALUE!</v>
      </c>
      <c r="M5" s="51" t="e">
        <f t="shared" si="1"/>
        <v>#VALUE!</v>
      </c>
      <c r="N5" s="51" t="e">
        <f t="shared" si="1"/>
        <v>#VALUE!</v>
      </c>
      <c r="O5" s="51" t="e">
        <f t="shared" si="1"/>
        <v>#VALUE!</v>
      </c>
      <c r="P5" s="51" t="e">
        <f t="shared" si="1"/>
        <v>#VALUE!</v>
      </c>
      <c r="Q5" s="51" t="e">
        <f t="shared" si="1"/>
        <v>#VALUE!</v>
      </c>
      <c r="R5" s="51" t="e">
        <f t="shared" si="1"/>
        <v>#VALUE!</v>
      </c>
      <c r="S5" s="51" t="e">
        <f t="shared" si="1"/>
        <v>#VALUE!</v>
      </c>
      <c r="T5" s="51" t="e">
        <f t="shared" si="1"/>
        <v>#VALUE!</v>
      </c>
      <c r="U5" s="51" t="e">
        <f t="shared" si="1"/>
        <v>#VALUE!</v>
      </c>
      <c r="V5" s="51" t="e">
        <f t="shared" si="1"/>
        <v>#VALUE!</v>
      </c>
      <c r="W5" s="51" t="e">
        <f t="shared" si="1"/>
        <v>#VALUE!</v>
      </c>
      <c r="X5" s="51" t="e">
        <f t="shared" si="1"/>
        <v>#VALUE!</v>
      </c>
      <c r="Y5" s="51" t="e">
        <f t="shared" si="1"/>
        <v>#VALUE!</v>
      </c>
      <c r="Z5" s="51" t="e">
        <f t="shared" si="1"/>
        <v>#VALUE!</v>
      </c>
      <c r="AA5" s="51" t="e">
        <f t="shared" si="1"/>
        <v>#VALUE!</v>
      </c>
      <c r="AB5" s="51" t="e">
        <f t="shared" si="1"/>
        <v>#VALUE!</v>
      </c>
      <c r="AC5" s="51" t="e">
        <f t="shared" si="1"/>
        <v>#VALUE!</v>
      </c>
    </row>
    <row r="6" ht="15" customHeight="1" spans="1:29">
      <c r="A6" s="52">
        <v>1.1</v>
      </c>
      <c r="B6" s="24" t="s">
        <v>513</v>
      </c>
      <c r="C6" s="51" t="e">
        <f t="shared" si="0"/>
        <v>#VALUE!</v>
      </c>
      <c r="D6" s="51">
        <f>项目投资现金流量表!D6</f>
        <v>0</v>
      </c>
      <c r="E6" s="51" t="e">
        <f>项目投资现金流量表!E6</f>
        <v>#VALUE!</v>
      </c>
      <c r="F6" s="51" t="e">
        <f>项目投资现金流量表!F6</f>
        <v>#VALUE!</v>
      </c>
      <c r="G6" s="51" t="e">
        <f>项目投资现金流量表!G6</f>
        <v>#VALUE!</v>
      </c>
      <c r="H6" s="51" t="e">
        <f>项目投资现金流量表!H6</f>
        <v>#VALUE!</v>
      </c>
      <c r="I6" s="51" t="e">
        <f>项目投资现金流量表!I6</f>
        <v>#VALUE!</v>
      </c>
      <c r="J6" s="51" t="e">
        <f>项目投资现金流量表!J6</f>
        <v>#VALUE!</v>
      </c>
      <c r="K6" s="51" t="e">
        <f>项目投资现金流量表!K6</f>
        <v>#VALUE!</v>
      </c>
      <c r="L6" s="51" t="e">
        <f>项目投资现金流量表!L6</f>
        <v>#VALUE!</v>
      </c>
      <c r="M6" s="51" t="e">
        <f>项目投资现金流量表!M6</f>
        <v>#VALUE!</v>
      </c>
      <c r="N6" s="51" t="e">
        <f>项目投资现金流量表!N6</f>
        <v>#VALUE!</v>
      </c>
      <c r="O6" s="51" t="e">
        <f>项目投资现金流量表!O6</f>
        <v>#VALUE!</v>
      </c>
      <c r="P6" s="51" t="e">
        <f>项目投资现金流量表!P6</f>
        <v>#VALUE!</v>
      </c>
      <c r="Q6" s="51" t="e">
        <f>项目投资现金流量表!Q6</f>
        <v>#VALUE!</v>
      </c>
      <c r="R6" s="51" t="e">
        <f>项目投资现金流量表!R6</f>
        <v>#VALUE!</v>
      </c>
      <c r="S6" s="51" t="e">
        <f>项目投资现金流量表!S6</f>
        <v>#VALUE!</v>
      </c>
      <c r="T6" s="51" t="e">
        <f>项目投资现金流量表!T6</f>
        <v>#VALUE!</v>
      </c>
      <c r="U6" s="51" t="e">
        <f>项目投资现金流量表!U6</f>
        <v>#VALUE!</v>
      </c>
      <c r="V6" s="51" t="e">
        <f>项目投资现金流量表!V6</f>
        <v>#VALUE!</v>
      </c>
      <c r="W6" s="51" t="e">
        <f>项目投资现金流量表!W6</f>
        <v>#VALUE!</v>
      </c>
      <c r="X6" s="51" t="e">
        <f>项目投资现金流量表!X6</f>
        <v>#VALUE!</v>
      </c>
      <c r="Y6" s="51" t="e">
        <f>项目投资现金流量表!Y6</f>
        <v>#VALUE!</v>
      </c>
      <c r="Z6" s="51" t="e">
        <f>项目投资现金流量表!Z6</f>
        <v>#VALUE!</v>
      </c>
      <c r="AA6" s="51" t="e">
        <f>项目投资现金流量表!AA6</f>
        <v>#VALUE!</v>
      </c>
      <c r="AB6" s="51" t="e">
        <f>项目投资现金流量表!AB6</f>
        <v>#VALUE!</v>
      </c>
      <c r="AC6" s="51" t="e">
        <f>项目投资现金流量表!AC6</f>
        <v>#VALUE!</v>
      </c>
    </row>
    <row r="7" ht="15" customHeight="1" spans="1:29">
      <c r="A7" s="52">
        <v>1.2</v>
      </c>
      <c r="B7" s="24" t="s">
        <v>589</v>
      </c>
      <c r="C7" s="51">
        <f t="shared" si="0"/>
        <v>0</v>
      </c>
      <c r="D7" s="51">
        <f>项目投资现金流量表!D7</f>
        <v>0</v>
      </c>
      <c r="E7" s="51">
        <f>项目投资现金流量表!E7</f>
        <v>0</v>
      </c>
      <c r="F7" s="51">
        <f>项目投资现金流量表!F7</f>
        <v>0</v>
      </c>
      <c r="G7" s="51">
        <f>项目投资现金流量表!G7</f>
        <v>0</v>
      </c>
      <c r="H7" s="51">
        <f>项目投资现金流量表!H7</f>
        <v>0</v>
      </c>
      <c r="I7" s="51">
        <f>项目投资现金流量表!I7</f>
        <v>0</v>
      </c>
      <c r="J7" s="51">
        <f>项目投资现金流量表!J7</f>
        <v>0</v>
      </c>
      <c r="K7" s="51">
        <f>项目投资现金流量表!K7</f>
        <v>0</v>
      </c>
      <c r="L7" s="51">
        <f>项目投资现金流量表!L7</f>
        <v>0</v>
      </c>
      <c r="M7" s="51">
        <f>项目投资现金流量表!M7</f>
        <v>0</v>
      </c>
      <c r="N7" s="51">
        <f>项目投资现金流量表!N7</f>
        <v>0</v>
      </c>
      <c r="O7" s="51">
        <f>项目投资现金流量表!O7</f>
        <v>0</v>
      </c>
      <c r="P7" s="51">
        <f>项目投资现金流量表!P7</f>
        <v>0</v>
      </c>
      <c r="Q7" s="51">
        <f>项目投资现金流量表!Q7</f>
        <v>0</v>
      </c>
      <c r="R7" s="51">
        <f>项目投资现金流量表!R7</f>
        <v>0</v>
      </c>
      <c r="S7" s="51">
        <f>项目投资现金流量表!S7</f>
        <v>0</v>
      </c>
      <c r="T7" s="51">
        <f>项目投资现金流量表!T7</f>
        <v>0</v>
      </c>
      <c r="U7" s="51">
        <f>项目投资现金流量表!U7</f>
        <v>0</v>
      </c>
      <c r="V7" s="51">
        <f>项目投资现金流量表!V7</f>
        <v>0</v>
      </c>
      <c r="W7" s="51">
        <f>项目投资现金流量表!W7</f>
        <v>0</v>
      </c>
      <c r="X7" s="51">
        <f>项目投资现金流量表!X7</f>
        <v>0</v>
      </c>
      <c r="Y7" s="51">
        <f>项目投资现金流量表!Y7</f>
        <v>0</v>
      </c>
      <c r="Z7" s="51">
        <f>项目投资现金流量表!Z7</f>
        <v>0</v>
      </c>
      <c r="AA7" s="51">
        <f>项目投资现金流量表!AA7</f>
        <v>0</v>
      </c>
      <c r="AB7" s="51">
        <f>项目投资现金流量表!AB7</f>
        <v>0</v>
      </c>
      <c r="AC7" s="51">
        <f>项目投资现金流量表!AC7</f>
        <v>0</v>
      </c>
    </row>
    <row r="8" ht="15" customHeight="1" spans="1:29">
      <c r="A8" s="52">
        <v>1.3</v>
      </c>
      <c r="B8" s="24" t="s">
        <v>555</v>
      </c>
      <c r="C8" s="51">
        <f t="shared" si="0"/>
        <v>0</v>
      </c>
      <c r="D8" s="51">
        <f>项目投资现金流量表!D8</f>
        <v>0</v>
      </c>
      <c r="E8" s="51">
        <f>项目投资现金流量表!E8</f>
        <v>0</v>
      </c>
      <c r="F8" s="51">
        <f>项目投资现金流量表!F8</f>
        <v>0</v>
      </c>
      <c r="G8" s="51">
        <f>项目投资现金流量表!G8</f>
        <v>0</v>
      </c>
      <c r="H8" s="51">
        <f>项目投资现金流量表!H8</f>
        <v>0</v>
      </c>
      <c r="I8" s="51">
        <f>项目投资现金流量表!I8</f>
        <v>0</v>
      </c>
      <c r="J8" s="51">
        <f>项目投资现金流量表!J8</f>
        <v>0</v>
      </c>
      <c r="K8" s="51">
        <f>项目投资现金流量表!K8</f>
        <v>0</v>
      </c>
      <c r="L8" s="51">
        <f>项目投资现金流量表!L8</f>
        <v>0</v>
      </c>
      <c r="M8" s="51">
        <f>项目投资现金流量表!M8</f>
        <v>0</v>
      </c>
      <c r="N8" s="51">
        <f>项目投资现金流量表!N8</f>
        <v>0</v>
      </c>
      <c r="O8" s="51">
        <f>项目投资现金流量表!O8</f>
        <v>0</v>
      </c>
      <c r="P8" s="51">
        <f>项目投资现金流量表!P8</f>
        <v>0</v>
      </c>
      <c r="Q8" s="51">
        <f>项目投资现金流量表!Q8</f>
        <v>0</v>
      </c>
      <c r="R8" s="51">
        <f>项目投资现金流量表!R8</f>
        <v>0</v>
      </c>
      <c r="S8" s="51">
        <f>项目投资现金流量表!S8</f>
        <v>0</v>
      </c>
      <c r="T8" s="51">
        <f>项目投资现金流量表!T8</f>
        <v>0</v>
      </c>
      <c r="U8" s="51">
        <f>项目投资现金流量表!U8</f>
        <v>0</v>
      </c>
      <c r="V8" s="51">
        <f>项目投资现金流量表!V8</f>
        <v>0</v>
      </c>
      <c r="W8" s="51">
        <f>项目投资现金流量表!W8</f>
        <v>0</v>
      </c>
      <c r="X8" s="51">
        <f>项目投资现金流量表!X8</f>
        <v>0</v>
      </c>
      <c r="Y8" s="51">
        <f>项目投资现金流量表!Y8</f>
        <v>0</v>
      </c>
      <c r="Z8" s="51">
        <f>项目投资现金流量表!Z8</f>
        <v>0</v>
      </c>
      <c r="AA8" s="51">
        <f>项目投资现金流量表!AA8</f>
        <v>0</v>
      </c>
      <c r="AB8" s="51">
        <f>项目投资现金流量表!AB8</f>
        <v>0</v>
      </c>
      <c r="AC8" s="51">
        <f>项目投资现金流量表!AC8</f>
        <v>0</v>
      </c>
    </row>
    <row r="9" ht="15" customHeight="1" spans="1:29">
      <c r="A9" s="52">
        <v>1.4</v>
      </c>
      <c r="B9" s="24" t="s">
        <v>563</v>
      </c>
      <c r="C9" s="51">
        <f t="shared" si="0"/>
        <v>0</v>
      </c>
      <c r="D9" s="51">
        <f>项目投资现金流量表!D9</f>
        <v>0</v>
      </c>
      <c r="E9" s="51">
        <f>项目投资现金流量表!E9</f>
        <v>0</v>
      </c>
      <c r="F9" s="51">
        <f>项目投资现金流量表!F9</f>
        <v>0</v>
      </c>
      <c r="G9" s="51">
        <f>项目投资现金流量表!G9</f>
        <v>0</v>
      </c>
      <c r="H9" s="51">
        <f>项目投资现金流量表!H9</f>
        <v>0</v>
      </c>
      <c r="I9" s="51">
        <f>项目投资现金流量表!I9</f>
        <v>0</v>
      </c>
      <c r="J9" s="51">
        <f>项目投资现金流量表!J9</f>
        <v>0</v>
      </c>
      <c r="K9" s="51">
        <f>项目投资现金流量表!K9</f>
        <v>0</v>
      </c>
      <c r="L9" s="51">
        <f>项目投资现金流量表!L9</f>
        <v>0</v>
      </c>
      <c r="M9" s="51">
        <f>项目投资现金流量表!M9</f>
        <v>0</v>
      </c>
      <c r="N9" s="51">
        <f>项目投资现金流量表!N9</f>
        <v>0</v>
      </c>
      <c r="O9" s="51">
        <f>项目投资现金流量表!O9</f>
        <v>0</v>
      </c>
      <c r="P9" s="51">
        <f>项目投资现金流量表!P9</f>
        <v>0</v>
      </c>
      <c r="Q9" s="51">
        <f>项目投资现金流量表!Q9</f>
        <v>0</v>
      </c>
      <c r="R9" s="51">
        <f>项目投资现金流量表!R9</f>
        <v>0</v>
      </c>
      <c r="S9" s="51">
        <f>项目投资现金流量表!S9</f>
        <v>0</v>
      </c>
      <c r="T9" s="51">
        <f>项目投资现金流量表!T9</f>
        <v>0</v>
      </c>
      <c r="U9" s="51">
        <f>项目投资现金流量表!U9</f>
        <v>0</v>
      </c>
      <c r="V9" s="51">
        <f>项目投资现金流量表!V9</f>
        <v>0</v>
      </c>
      <c r="W9" s="51">
        <f>项目投资现金流量表!W9</f>
        <v>0</v>
      </c>
      <c r="X9" s="51">
        <f>项目投资现金流量表!X9</f>
        <v>0</v>
      </c>
      <c r="Y9" s="51">
        <f>项目投资现金流量表!Y9</f>
        <v>0</v>
      </c>
      <c r="Z9" s="51">
        <f>项目投资现金流量表!Z9</f>
        <v>0</v>
      </c>
      <c r="AA9" s="51">
        <f>项目投资现金流量表!AA9</f>
        <v>0</v>
      </c>
      <c r="AB9" s="51">
        <f>项目投资现金流量表!AB9</f>
        <v>0</v>
      </c>
      <c r="AC9" s="51">
        <f>项目投资现金流量表!AC9</f>
        <v>0</v>
      </c>
    </row>
    <row r="10" ht="15" customHeight="1" spans="1:29">
      <c r="A10" s="52">
        <v>1.5</v>
      </c>
      <c r="B10" s="24" t="s">
        <v>564</v>
      </c>
      <c r="C10" s="51">
        <f t="shared" si="0"/>
        <v>0</v>
      </c>
      <c r="D10" s="51">
        <f>项目投资现金流量表!D10</f>
        <v>0</v>
      </c>
      <c r="E10" s="51">
        <f>项目投资现金流量表!E10</f>
        <v>0</v>
      </c>
      <c r="F10" s="51">
        <f>项目投资现金流量表!F10</f>
        <v>0</v>
      </c>
      <c r="G10" s="51">
        <f>项目投资现金流量表!G10</f>
        <v>0</v>
      </c>
      <c r="H10" s="51">
        <f>项目投资现金流量表!H10</f>
        <v>0</v>
      </c>
      <c r="I10" s="51">
        <f>项目投资现金流量表!I10</f>
        <v>0</v>
      </c>
      <c r="J10" s="51">
        <f>项目投资现金流量表!J10</f>
        <v>0</v>
      </c>
      <c r="K10" s="51">
        <f>项目投资现金流量表!K10</f>
        <v>0</v>
      </c>
      <c r="L10" s="51">
        <f>项目投资现金流量表!L10</f>
        <v>0</v>
      </c>
      <c r="M10" s="51">
        <f>项目投资现金流量表!M10</f>
        <v>0</v>
      </c>
      <c r="N10" s="51">
        <f>项目投资现金流量表!N10</f>
        <v>0</v>
      </c>
      <c r="O10" s="51">
        <f>项目投资现金流量表!O10</f>
        <v>0</v>
      </c>
      <c r="P10" s="51">
        <f>项目投资现金流量表!P10</f>
        <v>0</v>
      </c>
      <c r="Q10" s="51">
        <f>项目投资现金流量表!Q10</f>
        <v>0</v>
      </c>
      <c r="R10" s="51">
        <f>项目投资现金流量表!R10</f>
        <v>0</v>
      </c>
      <c r="S10" s="51">
        <f>项目投资现金流量表!S10</f>
        <v>0</v>
      </c>
      <c r="T10" s="51">
        <f>项目投资现金流量表!T10</f>
        <v>0</v>
      </c>
      <c r="U10" s="51">
        <f>项目投资现金流量表!U10</f>
        <v>0</v>
      </c>
      <c r="V10" s="51">
        <f>项目投资现金流量表!V10</f>
        <v>0</v>
      </c>
      <c r="W10" s="51">
        <f>项目投资现金流量表!W10</f>
        <v>0</v>
      </c>
      <c r="X10" s="51">
        <f>项目投资现金流量表!X10</f>
        <v>0</v>
      </c>
      <c r="Y10" s="51">
        <f>项目投资现金流量表!Y10</f>
        <v>0</v>
      </c>
      <c r="Z10" s="51">
        <f>项目投资现金流量表!Z10</f>
        <v>0</v>
      </c>
      <c r="AA10" s="51">
        <f>项目投资现金流量表!AA10</f>
        <v>0</v>
      </c>
      <c r="AB10" s="51">
        <f>项目投资现金流量表!AB10</f>
        <v>0</v>
      </c>
      <c r="AC10" s="51">
        <f>项目投资现金流量表!AC10</f>
        <v>0</v>
      </c>
    </row>
    <row r="11" ht="15" customHeight="1" spans="1:29">
      <c r="A11" s="52">
        <v>1.6</v>
      </c>
      <c r="B11" s="24" t="s">
        <v>609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ht="15" customHeight="1" spans="1:29">
      <c r="A12" s="49">
        <v>2</v>
      </c>
      <c r="B12" s="24" t="s">
        <v>556</v>
      </c>
      <c r="C12" s="51" t="e">
        <f t="shared" ref="C12:C21" si="2">SUM(D12:AC12)</f>
        <v>#VALUE!</v>
      </c>
      <c r="D12" s="51">
        <f t="shared" ref="D12:AC12" si="3">SUM(D13:D20)</f>
        <v>0</v>
      </c>
      <c r="E12" s="51" t="e">
        <f t="shared" si="3"/>
        <v>#VALUE!</v>
      </c>
      <c r="F12" s="51" t="e">
        <f t="shared" si="3"/>
        <v>#VALUE!</v>
      </c>
      <c r="G12" s="51" t="e">
        <f t="shared" si="3"/>
        <v>#VALUE!</v>
      </c>
      <c r="H12" s="51" t="e">
        <f t="shared" si="3"/>
        <v>#VALUE!</v>
      </c>
      <c r="I12" s="51" t="e">
        <f t="shared" si="3"/>
        <v>#VALUE!</v>
      </c>
      <c r="J12" s="51" t="e">
        <f t="shared" si="3"/>
        <v>#VALUE!</v>
      </c>
      <c r="K12" s="51" t="e">
        <f t="shared" si="3"/>
        <v>#VALUE!</v>
      </c>
      <c r="L12" s="51" t="e">
        <f t="shared" si="3"/>
        <v>#VALUE!</v>
      </c>
      <c r="M12" s="51" t="e">
        <f t="shared" si="3"/>
        <v>#VALUE!</v>
      </c>
      <c r="N12" s="51" t="e">
        <f t="shared" si="3"/>
        <v>#VALUE!</v>
      </c>
      <c r="O12" s="51" t="e">
        <f t="shared" si="3"/>
        <v>#VALUE!</v>
      </c>
      <c r="P12" s="51" t="e">
        <f t="shared" si="3"/>
        <v>#VALUE!</v>
      </c>
      <c r="Q12" s="51" t="e">
        <f t="shared" si="3"/>
        <v>#VALUE!</v>
      </c>
      <c r="R12" s="51" t="e">
        <f t="shared" si="3"/>
        <v>#VALUE!</v>
      </c>
      <c r="S12" s="51" t="e">
        <f t="shared" si="3"/>
        <v>#VALUE!</v>
      </c>
      <c r="T12" s="51" t="e">
        <f t="shared" si="3"/>
        <v>#VALUE!</v>
      </c>
      <c r="U12" s="51" t="e">
        <f t="shared" si="3"/>
        <v>#VALUE!</v>
      </c>
      <c r="V12" s="51" t="e">
        <f t="shared" si="3"/>
        <v>#VALUE!</v>
      </c>
      <c r="W12" s="51" t="e">
        <f t="shared" si="3"/>
        <v>#VALUE!</v>
      </c>
      <c r="X12" s="51" t="e">
        <f t="shared" si="3"/>
        <v>#VALUE!</v>
      </c>
      <c r="Y12" s="51" t="e">
        <f t="shared" si="3"/>
        <v>#VALUE!</v>
      </c>
      <c r="Z12" s="51" t="e">
        <f t="shared" si="3"/>
        <v>#VALUE!</v>
      </c>
      <c r="AA12" s="51" t="e">
        <f t="shared" si="3"/>
        <v>#VALUE!</v>
      </c>
      <c r="AB12" s="51" t="e">
        <f t="shared" si="3"/>
        <v>#VALUE!</v>
      </c>
      <c r="AC12" s="51" t="e">
        <f t="shared" si="3"/>
        <v>#VALUE!</v>
      </c>
    </row>
    <row r="13" ht="15" customHeight="1" spans="1:29">
      <c r="A13" s="52">
        <v>2.1</v>
      </c>
      <c r="B13" s="24" t="s">
        <v>610</v>
      </c>
      <c r="C13" s="51">
        <f t="shared" si="2"/>
        <v>0</v>
      </c>
      <c r="D13" s="51">
        <f>投资计划与资金筹措表!D10</f>
        <v>0</v>
      </c>
      <c r="E13" s="51">
        <f>投资计划与资金筹措表!E10</f>
        <v>0</v>
      </c>
      <c r="F13" s="51">
        <f>投资计划与资金筹措表!F10</f>
        <v>0</v>
      </c>
      <c r="G13" s="51">
        <f>投资计划与资金筹措表!G10</f>
        <v>0</v>
      </c>
      <c r="H13" s="51">
        <f>投资计划与资金筹措表!H10</f>
        <v>0</v>
      </c>
      <c r="I13" s="51">
        <f>投资计划与资金筹措表!I10</f>
        <v>0</v>
      </c>
      <c r="J13" s="51">
        <f>投资计划与资金筹措表!J10</f>
        <v>0</v>
      </c>
      <c r="K13" s="51">
        <f>投资计划与资金筹措表!K10</f>
        <v>0</v>
      </c>
      <c r="L13" s="51">
        <f>投资计划与资金筹措表!L10</f>
        <v>0</v>
      </c>
      <c r="M13" s="51">
        <f>投资计划与资金筹措表!M10</f>
        <v>0</v>
      </c>
      <c r="N13" s="51">
        <f>投资计划与资金筹措表!N10</f>
        <v>0</v>
      </c>
      <c r="O13" s="51">
        <f>投资计划与资金筹措表!O10</f>
        <v>0</v>
      </c>
      <c r="P13" s="51">
        <f>投资计划与资金筹措表!P10</f>
        <v>0</v>
      </c>
      <c r="Q13" s="51">
        <f>投资计划与资金筹措表!Q10</f>
        <v>0</v>
      </c>
      <c r="R13" s="51">
        <f>投资计划与资金筹措表!R10</f>
        <v>0</v>
      </c>
      <c r="S13" s="51">
        <f>投资计划与资金筹措表!S10</f>
        <v>0</v>
      </c>
      <c r="T13" s="51">
        <f>投资计划与资金筹措表!T10</f>
        <v>0</v>
      </c>
      <c r="U13" s="51">
        <f>投资计划与资金筹措表!U10</f>
        <v>0</v>
      </c>
      <c r="V13" s="51">
        <f>投资计划与资金筹措表!V10</f>
        <v>0</v>
      </c>
      <c r="W13" s="51">
        <f>投资计划与资金筹措表!W10</f>
        <v>0</v>
      </c>
      <c r="X13" s="51">
        <f>投资计划与资金筹措表!X10</f>
        <v>0</v>
      </c>
      <c r="Y13" s="51">
        <f>投资计划与资金筹措表!Y10</f>
        <v>0</v>
      </c>
      <c r="Z13" s="51">
        <f>投资计划与资金筹措表!Z10</f>
        <v>0</v>
      </c>
      <c r="AA13" s="51">
        <f>投资计划与资金筹措表!AA10</f>
        <v>0</v>
      </c>
      <c r="AB13" s="51">
        <f>投资计划与资金筹措表!AB10</f>
        <v>0</v>
      </c>
      <c r="AC13" s="51">
        <f>投资计划与资金筹措表!AC10</f>
        <v>0</v>
      </c>
    </row>
    <row r="14" ht="15" customHeight="1" spans="1:29">
      <c r="A14" s="52">
        <v>2.2</v>
      </c>
      <c r="B14" s="24" t="s">
        <v>611</v>
      </c>
      <c r="C14" s="51" t="e">
        <f t="shared" si="2"/>
        <v>#VALUE!</v>
      </c>
      <c r="D14" s="51">
        <f>财务计划现金流量表!D33</f>
        <v>0</v>
      </c>
      <c r="E14" s="51" t="e">
        <f>财务计划现金流量表!E33</f>
        <v>#VALUE!</v>
      </c>
      <c r="F14" s="51" t="e">
        <f>财务计划现金流量表!F33</f>
        <v>#VALUE!</v>
      </c>
      <c r="G14" s="51" t="e">
        <f>财务计划现金流量表!G33</f>
        <v>#VALUE!</v>
      </c>
      <c r="H14" s="51" t="e">
        <f>财务计划现金流量表!H33</f>
        <v>#VALUE!</v>
      </c>
      <c r="I14" s="51" t="e">
        <f>财务计划现金流量表!I33</f>
        <v>#VALUE!</v>
      </c>
      <c r="J14" s="51" t="e">
        <f>财务计划现金流量表!J33</f>
        <v>#VALUE!</v>
      </c>
      <c r="K14" s="51" t="e">
        <f>财务计划现金流量表!K33</f>
        <v>#VALUE!</v>
      </c>
      <c r="L14" s="51" t="e">
        <f>财务计划现金流量表!L33</f>
        <v>#VALUE!</v>
      </c>
      <c r="M14" s="51" t="e">
        <f>财务计划现金流量表!M33</f>
        <v>#VALUE!</v>
      </c>
      <c r="N14" s="51" t="e">
        <f>财务计划现金流量表!N33</f>
        <v>#VALUE!</v>
      </c>
      <c r="O14" s="51" t="e">
        <f>财务计划现金流量表!O33</f>
        <v>#VALUE!</v>
      </c>
      <c r="P14" s="51" t="e">
        <f>财务计划现金流量表!P33</f>
        <v>#VALUE!</v>
      </c>
      <c r="Q14" s="51" t="e">
        <f>财务计划现金流量表!Q33</f>
        <v>#VALUE!</v>
      </c>
      <c r="R14" s="51" t="e">
        <f>财务计划现金流量表!R33</f>
        <v>#VALUE!</v>
      </c>
      <c r="S14" s="51" t="e">
        <f>财务计划现金流量表!S33</f>
        <v>#VALUE!</v>
      </c>
      <c r="T14" s="51" t="e">
        <f>财务计划现金流量表!T33</f>
        <v>#VALUE!</v>
      </c>
      <c r="U14" s="51" t="e">
        <f>财务计划现金流量表!U33</f>
        <v>#VALUE!</v>
      </c>
      <c r="V14" s="51" t="e">
        <f>财务计划现金流量表!V33</f>
        <v>#VALUE!</v>
      </c>
      <c r="W14" s="51" t="e">
        <f>财务计划现金流量表!W33</f>
        <v>#VALUE!</v>
      </c>
      <c r="X14" s="51" t="e">
        <f>财务计划现金流量表!X33</f>
        <v>#VALUE!</v>
      </c>
      <c r="Y14" s="51" t="e">
        <f>财务计划现金流量表!Y33</f>
        <v>#VALUE!</v>
      </c>
      <c r="Z14" s="51" t="e">
        <f>财务计划现金流量表!Z33</f>
        <v>#VALUE!</v>
      </c>
      <c r="AA14" s="51" t="e">
        <f>财务计划现金流量表!AA33</f>
        <v>#VALUE!</v>
      </c>
      <c r="AB14" s="51" t="e">
        <f>财务计划现金流量表!AB33</f>
        <v>#VALUE!</v>
      </c>
      <c r="AC14" s="51" t="e">
        <f>财务计划现金流量表!AC33</f>
        <v>#VALUE!</v>
      </c>
    </row>
    <row r="15" ht="15" customHeight="1" spans="1:29">
      <c r="A15" s="52">
        <v>2.3</v>
      </c>
      <c r="B15" s="24" t="s">
        <v>612</v>
      </c>
      <c r="C15" s="51" t="e">
        <f t="shared" si="2"/>
        <v>#VALUE!</v>
      </c>
      <c r="D15" s="51">
        <f>总成本费用表!D12</f>
        <v>0</v>
      </c>
      <c r="E15" s="51">
        <f>总成本费用表!E12</f>
        <v>0</v>
      </c>
      <c r="F15" s="51" t="e">
        <f>总成本费用表!F12</f>
        <v>#VALUE!</v>
      </c>
      <c r="G15" s="51" t="e">
        <f>总成本费用表!G12</f>
        <v>#VALUE!</v>
      </c>
      <c r="H15" s="51" t="e">
        <f>总成本费用表!H12</f>
        <v>#VALUE!</v>
      </c>
      <c r="I15" s="51" t="e">
        <f>总成本费用表!I12</f>
        <v>#VALUE!</v>
      </c>
      <c r="J15" s="51" t="e">
        <f>总成本费用表!J12</f>
        <v>#VALUE!</v>
      </c>
      <c r="K15" s="51" t="e">
        <f>总成本费用表!K12</f>
        <v>#VALUE!</v>
      </c>
      <c r="L15" s="51" t="e">
        <f>总成本费用表!L12</f>
        <v>#VALUE!</v>
      </c>
      <c r="M15" s="51" t="e">
        <f>总成本费用表!M12</f>
        <v>#VALUE!</v>
      </c>
      <c r="N15" s="51" t="e">
        <f>总成本费用表!N12</f>
        <v>#VALUE!</v>
      </c>
      <c r="O15" s="51" t="e">
        <f>总成本费用表!O12</f>
        <v>#VALUE!</v>
      </c>
      <c r="P15" s="51" t="e">
        <f>总成本费用表!P12</f>
        <v>#VALUE!</v>
      </c>
      <c r="Q15" s="51" t="e">
        <f>总成本费用表!Q12</f>
        <v>#VALUE!</v>
      </c>
      <c r="R15" s="51" t="e">
        <f>总成本费用表!R12</f>
        <v>#VALUE!</v>
      </c>
      <c r="S15" s="51" t="e">
        <f>总成本费用表!S12</f>
        <v>#VALUE!</v>
      </c>
      <c r="T15" s="51" t="e">
        <f>总成本费用表!T12</f>
        <v>#VALUE!</v>
      </c>
      <c r="U15" s="51" t="e">
        <f>总成本费用表!U12</f>
        <v>#VALUE!</v>
      </c>
      <c r="V15" s="51" t="e">
        <f>总成本费用表!V12</f>
        <v>#VALUE!</v>
      </c>
      <c r="W15" s="51" t="e">
        <f>总成本费用表!W12</f>
        <v>#VALUE!</v>
      </c>
      <c r="X15" s="51" t="e">
        <f>总成本费用表!X12</f>
        <v>#VALUE!</v>
      </c>
      <c r="Y15" s="51" t="e">
        <f>总成本费用表!Y12</f>
        <v>#VALUE!</v>
      </c>
      <c r="Z15" s="51" t="e">
        <f>总成本费用表!Z12</f>
        <v>#VALUE!</v>
      </c>
      <c r="AA15" s="51" t="e">
        <f>总成本费用表!AA12</f>
        <v>#VALUE!</v>
      </c>
      <c r="AB15" s="51" t="e">
        <f>总成本费用表!AB12</f>
        <v>#VALUE!</v>
      </c>
      <c r="AC15" s="51" t="e">
        <f>总成本费用表!AC12</f>
        <v>#VALUE!</v>
      </c>
    </row>
    <row r="16" ht="15" customHeight="1" spans="1:29">
      <c r="A16" s="52">
        <v>2.4</v>
      </c>
      <c r="B16" s="24" t="s">
        <v>486</v>
      </c>
      <c r="C16" s="51" t="e">
        <f t="shared" si="2"/>
        <v>#REF!</v>
      </c>
      <c r="D16" s="51">
        <f>总成本费用表!D21</f>
        <v>0</v>
      </c>
      <c r="E16" s="51" t="e">
        <f>总成本费用表!E21</f>
        <v>#REF!</v>
      </c>
      <c r="F16" s="51" t="e">
        <f>总成本费用表!F21</f>
        <v>#REF!</v>
      </c>
      <c r="G16" s="51" t="e">
        <f>总成本费用表!G21</f>
        <v>#REF!</v>
      </c>
      <c r="H16" s="51" t="e">
        <f>总成本费用表!H21</f>
        <v>#REF!</v>
      </c>
      <c r="I16" s="51" t="e">
        <f>总成本费用表!I21</f>
        <v>#REF!</v>
      </c>
      <c r="J16" s="51" t="e">
        <f>总成本费用表!J21</f>
        <v>#REF!</v>
      </c>
      <c r="K16" s="51" t="e">
        <f>总成本费用表!K21</f>
        <v>#REF!</v>
      </c>
      <c r="L16" s="51" t="e">
        <f>总成本费用表!L21</f>
        <v>#REF!</v>
      </c>
      <c r="M16" s="51" t="e">
        <f>总成本费用表!M21</f>
        <v>#REF!</v>
      </c>
      <c r="N16" s="51" t="e">
        <f>总成本费用表!N21</f>
        <v>#REF!</v>
      </c>
      <c r="O16" s="51" t="e">
        <f>总成本费用表!O21</f>
        <v>#REF!</v>
      </c>
      <c r="P16" s="51" t="e">
        <f>总成本费用表!P21</f>
        <v>#REF!</v>
      </c>
      <c r="Q16" s="51" t="e">
        <f>总成本费用表!Q21</f>
        <v>#REF!</v>
      </c>
      <c r="R16" s="51" t="e">
        <f>总成本费用表!R21</f>
        <v>#REF!</v>
      </c>
      <c r="S16" s="51" t="e">
        <f>总成本费用表!S21</f>
        <v>#REF!</v>
      </c>
      <c r="T16" s="51" t="e">
        <f>总成本费用表!T21</f>
        <v>#REF!</v>
      </c>
      <c r="U16" s="51" t="e">
        <f>总成本费用表!U21</f>
        <v>#REF!</v>
      </c>
      <c r="V16" s="51" t="e">
        <f>总成本费用表!V21</f>
        <v>#REF!</v>
      </c>
      <c r="W16" s="51" t="e">
        <f>总成本费用表!W21</f>
        <v>#REF!</v>
      </c>
      <c r="X16" s="51" t="e">
        <f>总成本费用表!X21</f>
        <v>#REF!</v>
      </c>
      <c r="Y16" s="51" t="e">
        <f>总成本费用表!Y21</f>
        <v>#REF!</v>
      </c>
      <c r="Z16" s="51" t="e">
        <f>总成本费用表!Z21</f>
        <v>#REF!</v>
      </c>
      <c r="AA16" s="51" t="e">
        <f>总成本费用表!AA21</f>
        <v>#REF!</v>
      </c>
      <c r="AB16" s="51" t="e">
        <f>总成本费用表!AB21</f>
        <v>#REF!</v>
      </c>
      <c r="AC16" s="51" t="e">
        <f>总成本费用表!AC21</f>
        <v>#REF!</v>
      </c>
    </row>
    <row r="17" ht="15" customHeight="1" spans="1:29">
      <c r="A17" s="52">
        <v>2.5</v>
      </c>
      <c r="B17" s="24" t="s">
        <v>515</v>
      </c>
      <c r="C17" s="51" t="e">
        <f t="shared" si="2"/>
        <v>#VALUE!</v>
      </c>
      <c r="D17" s="51">
        <f>项目投资现金流量表!D17</f>
        <v>0</v>
      </c>
      <c r="E17" s="51" t="e">
        <f>项目投资现金流量表!E17</f>
        <v>#VALUE!</v>
      </c>
      <c r="F17" s="51" t="e">
        <f>项目投资现金流量表!F17</f>
        <v>#VALUE!</v>
      </c>
      <c r="G17" s="51" t="e">
        <f>项目投资现金流量表!G17</f>
        <v>#VALUE!</v>
      </c>
      <c r="H17" s="51" t="e">
        <f>项目投资现金流量表!H17</f>
        <v>#VALUE!</v>
      </c>
      <c r="I17" s="51" t="e">
        <f>项目投资现金流量表!I17</f>
        <v>#VALUE!</v>
      </c>
      <c r="J17" s="51" t="e">
        <f>项目投资现金流量表!J17</f>
        <v>#VALUE!</v>
      </c>
      <c r="K17" s="51" t="e">
        <f>项目投资现金流量表!K17</f>
        <v>#VALUE!</v>
      </c>
      <c r="L17" s="51" t="e">
        <f>项目投资现金流量表!L17</f>
        <v>#VALUE!</v>
      </c>
      <c r="M17" s="51" t="e">
        <f>项目投资现金流量表!M17</f>
        <v>#VALUE!</v>
      </c>
      <c r="N17" s="51" t="e">
        <f>项目投资现金流量表!N17</f>
        <v>#VALUE!</v>
      </c>
      <c r="O17" s="51" t="e">
        <f>项目投资现金流量表!O17</f>
        <v>#VALUE!</v>
      </c>
      <c r="P17" s="51" t="e">
        <f>项目投资现金流量表!P17</f>
        <v>#VALUE!</v>
      </c>
      <c r="Q17" s="51" t="e">
        <f>项目投资现金流量表!Q17</f>
        <v>#VALUE!</v>
      </c>
      <c r="R17" s="51" t="e">
        <f>项目投资现金流量表!R17</f>
        <v>#VALUE!</v>
      </c>
      <c r="S17" s="51" t="e">
        <f>项目投资现金流量表!S17</f>
        <v>#VALUE!</v>
      </c>
      <c r="T17" s="51" t="e">
        <f>项目投资现金流量表!T17</f>
        <v>#VALUE!</v>
      </c>
      <c r="U17" s="51" t="e">
        <f>项目投资现金流量表!U17</f>
        <v>#VALUE!</v>
      </c>
      <c r="V17" s="51" t="e">
        <f>项目投资现金流量表!V17</f>
        <v>#VALUE!</v>
      </c>
      <c r="W17" s="51" t="e">
        <f>项目投资现金流量表!W17</f>
        <v>#VALUE!</v>
      </c>
      <c r="X17" s="51" t="e">
        <f>项目投资现金流量表!X17</f>
        <v>#VALUE!</v>
      </c>
      <c r="Y17" s="51" t="e">
        <f>项目投资现金流量表!Y17</f>
        <v>#VALUE!</v>
      </c>
      <c r="Z17" s="51" t="e">
        <f>项目投资现金流量表!Z17</f>
        <v>#VALUE!</v>
      </c>
      <c r="AA17" s="51" t="e">
        <f>项目投资现金流量表!AA17</f>
        <v>#VALUE!</v>
      </c>
      <c r="AB17" s="51" t="e">
        <f>项目投资现金流量表!AB17</f>
        <v>#VALUE!</v>
      </c>
      <c r="AC17" s="51" t="e">
        <f>项目投资现金流量表!AC17</f>
        <v>#VALUE!</v>
      </c>
    </row>
    <row r="18" ht="15" customHeight="1" spans="1:29">
      <c r="A18" s="52">
        <v>2.6</v>
      </c>
      <c r="B18" s="24" t="s">
        <v>520</v>
      </c>
      <c r="C18" s="51" t="e">
        <f t="shared" si="2"/>
        <v>#VALUE!</v>
      </c>
      <c r="D18" s="51">
        <f>财务计划现金流量表!D15</f>
        <v>0</v>
      </c>
      <c r="E18" s="51" t="e">
        <f>财务计划现金流量表!E15</f>
        <v>#VALUE!</v>
      </c>
      <c r="F18" s="51" t="e">
        <f>财务计划现金流量表!F15</f>
        <v>#VALUE!</v>
      </c>
      <c r="G18" s="51" t="e">
        <f>财务计划现金流量表!G15</f>
        <v>#VALUE!</v>
      </c>
      <c r="H18" s="51" t="e">
        <f>财务计划现金流量表!H15</f>
        <v>#VALUE!</v>
      </c>
      <c r="I18" s="51" t="e">
        <f>财务计划现金流量表!I15</f>
        <v>#VALUE!</v>
      </c>
      <c r="J18" s="51" t="e">
        <f>财务计划现金流量表!J15</f>
        <v>#VALUE!</v>
      </c>
      <c r="K18" s="51" t="e">
        <f>财务计划现金流量表!K15</f>
        <v>#VALUE!</v>
      </c>
      <c r="L18" s="51" t="e">
        <f>财务计划现金流量表!L15</f>
        <v>#VALUE!</v>
      </c>
      <c r="M18" s="51" t="e">
        <f>财务计划现金流量表!M15</f>
        <v>#VALUE!</v>
      </c>
      <c r="N18" s="51" t="e">
        <f>财务计划现金流量表!N15</f>
        <v>#VALUE!</v>
      </c>
      <c r="O18" s="51" t="e">
        <f>财务计划现金流量表!O15</f>
        <v>#VALUE!</v>
      </c>
      <c r="P18" s="51" t="e">
        <f>财务计划现金流量表!P15</f>
        <v>#VALUE!</v>
      </c>
      <c r="Q18" s="51" t="e">
        <f>财务计划现金流量表!Q15</f>
        <v>#VALUE!</v>
      </c>
      <c r="R18" s="51" t="e">
        <f>财务计划现金流量表!R15</f>
        <v>#VALUE!</v>
      </c>
      <c r="S18" s="51" t="e">
        <f>财务计划现金流量表!S15</f>
        <v>#VALUE!</v>
      </c>
      <c r="T18" s="51" t="e">
        <f>财务计划现金流量表!T15</f>
        <v>#VALUE!</v>
      </c>
      <c r="U18" s="51" t="e">
        <f>财务计划现金流量表!U15</f>
        <v>#VALUE!</v>
      </c>
      <c r="V18" s="51" t="e">
        <f>财务计划现金流量表!V15</f>
        <v>#VALUE!</v>
      </c>
      <c r="W18" s="51" t="e">
        <f>财务计划现金流量表!W15</f>
        <v>#VALUE!</v>
      </c>
      <c r="X18" s="51" t="e">
        <f>财务计划现金流量表!X15</f>
        <v>#VALUE!</v>
      </c>
      <c r="Y18" s="51" t="e">
        <f>财务计划现金流量表!Y15</f>
        <v>#VALUE!</v>
      </c>
      <c r="Z18" s="51" t="e">
        <f>财务计划现金流量表!Z15</f>
        <v>#VALUE!</v>
      </c>
      <c r="AA18" s="51" t="e">
        <f>财务计划现金流量表!AA15</f>
        <v>#VALUE!</v>
      </c>
      <c r="AB18" s="51" t="e">
        <f>财务计划现金流量表!AB15</f>
        <v>#VALUE!</v>
      </c>
      <c r="AC18" s="51" t="e">
        <f>财务计划现金流量表!AC15</f>
        <v>#VALUE!</v>
      </c>
    </row>
    <row r="19" ht="15" customHeight="1" spans="1:29">
      <c r="A19" s="52">
        <v>2.7</v>
      </c>
      <c r="B19" s="24" t="s">
        <v>559</v>
      </c>
      <c r="C19" s="51" t="e">
        <f t="shared" si="2"/>
        <v>#VALUE!</v>
      </c>
      <c r="D19" s="51">
        <f>财务计划现金流量表!D13</f>
        <v>0</v>
      </c>
      <c r="E19" s="51" t="e">
        <f>财务计划现金流量表!E13</f>
        <v>#VALUE!</v>
      </c>
      <c r="F19" s="51" t="e">
        <f>财务计划现金流量表!F13</f>
        <v>#VALUE!</v>
      </c>
      <c r="G19" s="51" t="e">
        <f>财务计划现金流量表!G13</f>
        <v>#VALUE!</v>
      </c>
      <c r="H19" s="51" t="e">
        <f>财务计划现金流量表!H13</f>
        <v>#VALUE!</v>
      </c>
      <c r="I19" s="51" t="e">
        <f>财务计划现金流量表!I13</f>
        <v>#VALUE!</v>
      </c>
      <c r="J19" s="51" t="e">
        <f>财务计划现金流量表!J13</f>
        <v>#VALUE!</v>
      </c>
      <c r="K19" s="51" t="e">
        <f>财务计划现金流量表!K13</f>
        <v>#VALUE!</v>
      </c>
      <c r="L19" s="51" t="e">
        <f>财务计划现金流量表!L13</f>
        <v>#VALUE!</v>
      </c>
      <c r="M19" s="51" t="e">
        <f>财务计划现金流量表!M13</f>
        <v>#VALUE!</v>
      </c>
      <c r="N19" s="51" t="e">
        <f>财务计划现金流量表!N13</f>
        <v>#VALUE!</v>
      </c>
      <c r="O19" s="51" t="e">
        <f>财务计划现金流量表!O13</f>
        <v>#VALUE!</v>
      </c>
      <c r="P19" s="51" t="e">
        <f>财务计划现金流量表!P13</f>
        <v>#VALUE!</v>
      </c>
      <c r="Q19" s="51" t="e">
        <f>财务计划现金流量表!Q13</f>
        <v>#VALUE!</v>
      </c>
      <c r="R19" s="51" t="e">
        <f>财务计划现金流量表!R13</f>
        <v>#VALUE!</v>
      </c>
      <c r="S19" s="51" t="e">
        <f>财务计划现金流量表!S13</f>
        <v>#VALUE!</v>
      </c>
      <c r="T19" s="51" t="e">
        <f>财务计划现金流量表!T13</f>
        <v>#VALUE!</v>
      </c>
      <c r="U19" s="51" t="e">
        <f>财务计划现金流量表!U13</f>
        <v>#VALUE!</v>
      </c>
      <c r="V19" s="51" t="e">
        <f>财务计划现金流量表!V13</f>
        <v>#VALUE!</v>
      </c>
      <c r="W19" s="51" t="e">
        <f>财务计划现金流量表!W13</f>
        <v>#VALUE!</v>
      </c>
      <c r="X19" s="51" t="e">
        <f>财务计划现金流量表!X13</f>
        <v>#VALUE!</v>
      </c>
      <c r="Y19" s="51" t="e">
        <f>财务计划现金流量表!Y13</f>
        <v>#VALUE!</v>
      </c>
      <c r="Z19" s="51" t="e">
        <f>财务计划现金流量表!Z13</f>
        <v>#VALUE!</v>
      </c>
      <c r="AA19" s="51" t="e">
        <f>财务计划现金流量表!AA13</f>
        <v>#VALUE!</v>
      </c>
      <c r="AB19" s="51" t="e">
        <f>财务计划现金流量表!AB13</f>
        <v>#VALUE!</v>
      </c>
      <c r="AC19" s="51" t="e">
        <f>财务计划现金流量表!AC13</f>
        <v>#VALUE!</v>
      </c>
    </row>
    <row r="20" ht="15" customHeight="1" spans="1:29">
      <c r="A20" s="52">
        <v>2.8</v>
      </c>
      <c r="B20" s="24" t="s">
        <v>383</v>
      </c>
      <c r="C20" s="51">
        <f t="shared" si="2"/>
        <v>0</v>
      </c>
      <c r="D20" s="51">
        <f>项目投资现金流量表!D16</f>
        <v>0</v>
      </c>
      <c r="E20" s="51">
        <f>项目投资现金流量表!E16</f>
        <v>0</v>
      </c>
      <c r="F20" s="51">
        <f>项目投资现金流量表!F16</f>
        <v>0</v>
      </c>
      <c r="G20" s="51">
        <f>项目投资现金流量表!G16</f>
        <v>0</v>
      </c>
      <c r="H20" s="51">
        <f>项目投资现金流量表!H16</f>
        <v>0</v>
      </c>
      <c r="I20" s="51">
        <f>项目投资现金流量表!I16</f>
        <v>0</v>
      </c>
      <c r="J20" s="51">
        <f>项目投资现金流量表!J16</f>
        <v>0</v>
      </c>
      <c r="K20" s="51">
        <f>项目投资现金流量表!K16</f>
        <v>0</v>
      </c>
      <c r="L20" s="51">
        <f>项目投资现金流量表!L16</f>
        <v>0</v>
      </c>
      <c r="M20" s="51">
        <f>项目投资现金流量表!M16</f>
        <v>0</v>
      </c>
      <c r="N20" s="51">
        <f>项目投资现金流量表!N16</f>
        <v>0</v>
      </c>
      <c r="O20" s="51">
        <f>项目投资现金流量表!O16</f>
        <v>0</v>
      </c>
      <c r="P20" s="51">
        <f>项目投资现金流量表!P16</f>
        <v>0</v>
      </c>
      <c r="Q20" s="51">
        <f>项目投资现金流量表!Q16</f>
        <v>0</v>
      </c>
      <c r="R20" s="51">
        <f>项目投资现金流量表!R16</f>
        <v>0</v>
      </c>
      <c r="S20" s="51">
        <f>项目投资现金流量表!S16</f>
        <v>0</v>
      </c>
      <c r="T20" s="51">
        <f>项目投资现金流量表!T16</f>
        <v>0</v>
      </c>
      <c r="U20" s="51">
        <f>项目投资现金流量表!U16</f>
        <v>0</v>
      </c>
      <c r="V20" s="51">
        <f>项目投资现金流量表!V16</f>
        <v>0</v>
      </c>
      <c r="W20" s="51">
        <f>项目投资现金流量表!W16</f>
        <v>0</v>
      </c>
      <c r="X20" s="51">
        <f>项目投资现金流量表!X16</f>
        <v>0</v>
      </c>
      <c r="Y20" s="51">
        <f>项目投资现金流量表!Y16</f>
        <v>0</v>
      </c>
      <c r="Z20" s="51">
        <f>项目投资现金流量表!Z16</f>
        <v>0</v>
      </c>
      <c r="AA20" s="51">
        <f>项目投资现金流量表!AA16</f>
        <v>0</v>
      </c>
      <c r="AB20" s="51">
        <f>项目投资现金流量表!AB16</f>
        <v>0</v>
      </c>
      <c r="AC20" s="51">
        <f>项目投资现金流量表!AC16</f>
        <v>0</v>
      </c>
    </row>
    <row r="21" ht="15" customHeight="1" spans="1:29">
      <c r="A21" s="49">
        <v>3</v>
      </c>
      <c r="B21" s="53" t="s">
        <v>613</v>
      </c>
      <c r="C21" s="51" t="e">
        <f t="shared" si="2"/>
        <v>#VALUE!</v>
      </c>
      <c r="D21" s="51">
        <f t="shared" ref="D21:AC21" si="4">D5-D12</f>
        <v>0</v>
      </c>
      <c r="E21" s="51" t="e">
        <f t="shared" si="4"/>
        <v>#VALUE!</v>
      </c>
      <c r="F21" s="51" t="e">
        <f t="shared" si="4"/>
        <v>#VALUE!</v>
      </c>
      <c r="G21" s="51" t="e">
        <f t="shared" si="4"/>
        <v>#VALUE!</v>
      </c>
      <c r="H21" s="51" t="e">
        <f t="shared" si="4"/>
        <v>#VALUE!</v>
      </c>
      <c r="I21" s="51" t="e">
        <f t="shared" si="4"/>
        <v>#VALUE!</v>
      </c>
      <c r="J21" s="51" t="e">
        <f t="shared" si="4"/>
        <v>#VALUE!</v>
      </c>
      <c r="K21" s="51" t="e">
        <f t="shared" si="4"/>
        <v>#VALUE!</v>
      </c>
      <c r="L21" s="51" t="e">
        <f t="shared" si="4"/>
        <v>#VALUE!</v>
      </c>
      <c r="M21" s="51" t="e">
        <f t="shared" si="4"/>
        <v>#VALUE!</v>
      </c>
      <c r="N21" s="51" t="e">
        <f t="shared" si="4"/>
        <v>#VALUE!</v>
      </c>
      <c r="O21" s="51" t="e">
        <f t="shared" si="4"/>
        <v>#VALUE!</v>
      </c>
      <c r="P21" s="51" t="e">
        <f t="shared" si="4"/>
        <v>#VALUE!</v>
      </c>
      <c r="Q21" s="51" t="e">
        <f t="shared" si="4"/>
        <v>#VALUE!</v>
      </c>
      <c r="R21" s="51" t="e">
        <f t="shared" si="4"/>
        <v>#VALUE!</v>
      </c>
      <c r="S21" s="51" t="e">
        <f t="shared" si="4"/>
        <v>#VALUE!</v>
      </c>
      <c r="T21" s="51" t="e">
        <f t="shared" si="4"/>
        <v>#VALUE!</v>
      </c>
      <c r="U21" s="51" t="e">
        <f t="shared" si="4"/>
        <v>#VALUE!</v>
      </c>
      <c r="V21" s="51" t="e">
        <f t="shared" si="4"/>
        <v>#VALUE!</v>
      </c>
      <c r="W21" s="51" t="e">
        <f t="shared" si="4"/>
        <v>#VALUE!</v>
      </c>
      <c r="X21" s="51" t="e">
        <f t="shared" si="4"/>
        <v>#VALUE!</v>
      </c>
      <c r="Y21" s="51" t="e">
        <f t="shared" si="4"/>
        <v>#VALUE!</v>
      </c>
      <c r="Z21" s="51" t="e">
        <f t="shared" si="4"/>
        <v>#VALUE!</v>
      </c>
      <c r="AA21" s="51" t="e">
        <f t="shared" si="4"/>
        <v>#VALUE!</v>
      </c>
      <c r="AB21" s="51" t="e">
        <f t="shared" si="4"/>
        <v>#VALUE!</v>
      </c>
      <c r="AC21" s="51" t="e">
        <f t="shared" si="4"/>
        <v>#VALUE!</v>
      </c>
    </row>
    <row r="22" ht="15" customHeight="1" spans="1:29">
      <c r="A22" s="75" t="s">
        <v>595</v>
      </c>
      <c r="B22" s="76"/>
    </row>
    <row r="23" ht="15" customHeight="1" spans="1:29">
      <c r="A23" s="75" t="s">
        <v>614</v>
      </c>
      <c r="B23" s="76"/>
      <c r="C23" s="77" t="e">
        <f>IRR(D21:AC21)*100</f>
        <v>#VALUE!</v>
      </c>
    </row>
    <row r="24" ht="14.25" customHeight="1" spans="1:29">
      <c r="A24" s="78" t="s">
        <v>615</v>
      </c>
      <c r="B24" s="79"/>
      <c r="C24" s="80" t="e">
        <f>NPV(基本参数!B22/100,D21:AC21)</f>
        <v>#VALUE!</v>
      </c>
      <c r="J24" s="81"/>
    </row>
    <row r="25" ht="17.25" customHeight="1"/>
    <row r="26" customHeight="1"/>
    <row r="27" ht="14.25" customHeight="1" spans="1:29">
      <c r="B27" s="82"/>
    </row>
  </sheetData>
  <mergeCells count="8">
    <mergeCell ref="A1:AC1"/>
    <mergeCell ref="A2:AC2"/>
    <mergeCell ref="E3:AC3"/>
    <mergeCell ref="A22:B22"/>
    <mergeCell ref="A23:B23"/>
    <mergeCell ref="A3:A4"/>
    <mergeCell ref="B3:B4"/>
    <mergeCell ref="C3:C4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B29"/>
  <sheetViews>
    <sheetView workbookViewId="0">
      <pane xSplit="2" topLeftCell="C1" activePane="topRight" state="frozen"/>
      <selection/>
      <selection pane="topRight" activeCell="A1" sqref="A1:AB1"/>
    </sheetView>
  </sheetViews>
  <sheetFormatPr defaultColWidth="8.83333333333333" defaultRowHeight="13.5"/>
  <cols>
    <col min="1" max="1" width="8.83333333333333" style="3" customWidth="1"/>
    <col min="2" max="2" width="24.8333333333333" customWidth="1"/>
    <col min="3" max="3" width="12.8333333333333" style="59" customWidth="1"/>
    <col min="4" max="28" width="12.8333333333333" style="3" customWidth="1"/>
  </cols>
  <sheetData>
    <row r="1" ht="24" customHeight="1" spans="1:28">
      <c r="A1" s="60" t="s">
        <v>616</v>
      </c>
      <c r="B1" s="61"/>
      <c r="C1" s="62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ht="15" customHeight="1" spans="1:28">
      <c r="A2" s="51" t="s">
        <v>464</v>
      </c>
      <c r="B2" s="26"/>
      <c r="C2" s="63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ht="15" customHeight="1" spans="1:28">
      <c r="A3" s="64" t="s">
        <v>1</v>
      </c>
      <c r="B3" s="65" t="s">
        <v>2</v>
      </c>
      <c r="C3" s="66" t="s">
        <v>481</v>
      </c>
      <c r="D3" s="42" t="s">
        <v>482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ht="15" customHeight="1" spans="1:28">
      <c r="A4" s="22"/>
      <c r="B4" s="21"/>
      <c r="C4" s="67" t="s">
        <v>278</v>
      </c>
      <c r="D4" s="47" t="s">
        <v>279</v>
      </c>
      <c r="E4" s="47" t="s">
        <v>280</v>
      </c>
      <c r="F4" s="47" t="s">
        <v>281</v>
      </c>
      <c r="G4" s="47" t="s">
        <v>282</v>
      </c>
      <c r="H4" s="47" t="s">
        <v>327</v>
      </c>
      <c r="I4" s="47" t="s">
        <v>328</v>
      </c>
      <c r="J4" s="47" t="s">
        <v>329</v>
      </c>
      <c r="K4" s="47" t="s">
        <v>330</v>
      </c>
      <c r="L4" s="47" t="s">
        <v>331</v>
      </c>
      <c r="M4" s="47" t="s">
        <v>332</v>
      </c>
      <c r="N4" s="47" t="s">
        <v>333</v>
      </c>
      <c r="O4" s="47" t="s">
        <v>334</v>
      </c>
      <c r="P4" s="47" t="s">
        <v>335</v>
      </c>
      <c r="Q4" s="47" t="s">
        <v>336</v>
      </c>
      <c r="R4" s="47" t="s">
        <v>337</v>
      </c>
      <c r="S4" s="47" t="s">
        <v>338</v>
      </c>
      <c r="T4" s="47" t="s">
        <v>339</v>
      </c>
      <c r="U4" s="47" t="s">
        <v>340</v>
      </c>
      <c r="V4" s="47" t="s">
        <v>341</v>
      </c>
      <c r="W4" s="47" t="s">
        <v>342</v>
      </c>
      <c r="X4" s="47" t="s">
        <v>343</v>
      </c>
      <c r="Y4" s="47" t="s">
        <v>344</v>
      </c>
      <c r="Z4" s="47" t="s">
        <v>345</v>
      </c>
      <c r="AA4" s="47" t="s">
        <v>346</v>
      </c>
      <c r="AB4" s="47" t="s">
        <v>347</v>
      </c>
    </row>
    <row r="5" ht="15" customHeight="1" spans="1:28">
      <c r="A5" s="68">
        <v>1</v>
      </c>
      <c r="B5" s="24" t="s">
        <v>617</v>
      </c>
      <c r="C5" s="51">
        <f ca="1" t="shared" ref="C5:AB5" si="0">C6+C9+C10+C11+C12</f>
        <v>0</v>
      </c>
      <c r="D5" s="51" t="e">
        <f ca="1" t="shared" si="0"/>
        <v>#VALUE!</v>
      </c>
      <c r="E5" s="51" t="e">
        <f ca="1" t="shared" si="0"/>
        <v>#VALUE!</v>
      </c>
      <c r="F5" s="51" t="e">
        <f ca="1" t="shared" si="0"/>
        <v>#VALUE!</v>
      </c>
      <c r="G5" s="51" t="e">
        <f ca="1" t="shared" si="0"/>
        <v>#VALUE!</v>
      </c>
      <c r="H5" s="51" t="e">
        <f ca="1" t="shared" si="0"/>
        <v>#VALUE!</v>
      </c>
      <c r="I5" s="51" t="e">
        <f ca="1" t="shared" si="0"/>
        <v>#VALUE!</v>
      </c>
      <c r="J5" s="51" t="e">
        <f ca="1" t="shared" si="0"/>
        <v>#VALUE!</v>
      </c>
      <c r="K5" s="51" t="e">
        <f ca="1" t="shared" si="0"/>
        <v>#VALUE!</v>
      </c>
      <c r="L5" s="51" t="e">
        <f ca="1" t="shared" si="0"/>
        <v>#VALUE!</v>
      </c>
      <c r="M5" s="51" t="e">
        <f ca="1" t="shared" si="0"/>
        <v>#VALUE!</v>
      </c>
      <c r="N5" s="51" t="e">
        <f ca="1" t="shared" si="0"/>
        <v>#VALUE!</v>
      </c>
      <c r="O5" s="51" t="e">
        <f ca="1" t="shared" si="0"/>
        <v>#VALUE!</v>
      </c>
      <c r="P5" s="51" t="e">
        <f ca="1" t="shared" si="0"/>
        <v>#VALUE!</v>
      </c>
      <c r="Q5" s="51" t="e">
        <f ca="1" t="shared" si="0"/>
        <v>#VALUE!</v>
      </c>
      <c r="R5" s="51" t="e">
        <f ca="1" t="shared" si="0"/>
        <v>#VALUE!</v>
      </c>
      <c r="S5" s="51" t="e">
        <f ca="1" t="shared" si="0"/>
        <v>#VALUE!</v>
      </c>
      <c r="T5" s="51" t="e">
        <f ca="1" t="shared" si="0"/>
        <v>#VALUE!</v>
      </c>
      <c r="U5" s="51" t="e">
        <f ca="1" t="shared" si="0"/>
        <v>#VALUE!</v>
      </c>
      <c r="V5" s="51" t="e">
        <f ca="1" t="shared" si="0"/>
        <v>#VALUE!</v>
      </c>
      <c r="W5" s="51" t="e">
        <f ca="1" t="shared" si="0"/>
        <v>#VALUE!</v>
      </c>
      <c r="X5" s="51" t="e">
        <f ca="1" t="shared" si="0"/>
        <v>#VALUE!</v>
      </c>
      <c r="Y5" s="51" t="e">
        <f ca="1" t="shared" si="0"/>
        <v>#VALUE!</v>
      </c>
      <c r="Z5" s="51" t="e">
        <f ca="1" t="shared" si="0"/>
        <v>#VALUE!</v>
      </c>
      <c r="AA5" s="51" t="e">
        <f ca="1" t="shared" si="0"/>
        <v>#VALUE!</v>
      </c>
      <c r="AB5" s="51" t="e">
        <f ca="1" t="shared" si="0"/>
        <v>#VALUE!</v>
      </c>
    </row>
    <row r="6" ht="15" customHeight="1" spans="1:28">
      <c r="A6" s="29">
        <v>1.1</v>
      </c>
      <c r="B6" s="24" t="s">
        <v>618</v>
      </c>
      <c r="C6" s="51">
        <f t="shared" ref="C6:AB6" si="1">C7+C8</f>
        <v>0</v>
      </c>
      <c r="D6" s="51" t="e">
        <f t="shared" si="1"/>
        <v>#VALUE!</v>
      </c>
      <c r="E6" s="51" t="e">
        <f t="shared" si="1"/>
        <v>#VALUE!</v>
      </c>
      <c r="F6" s="51" t="e">
        <f t="shared" si="1"/>
        <v>#VALUE!</v>
      </c>
      <c r="G6" s="51" t="e">
        <f t="shared" si="1"/>
        <v>#VALUE!</v>
      </c>
      <c r="H6" s="51" t="e">
        <f t="shared" si="1"/>
        <v>#VALUE!</v>
      </c>
      <c r="I6" s="51" t="e">
        <f t="shared" si="1"/>
        <v>#VALUE!</v>
      </c>
      <c r="J6" s="51" t="e">
        <f t="shared" si="1"/>
        <v>#VALUE!</v>
      </c>
      <c r="K6" s="51" t="e">
        <f t="shared" si="1"/>
        <v>#VALUE!</v>
      </c>
      <c r="L6" s="51" t="e">
        <f t="shared" si="1"/>
        <v>#VALUE!</v>
      </c>
      <c r="M6" s="51" t="e">
        <f t="shared" si="1"/>
        <v>#VALUE!</v>
      </c>
      <c r="N6" s="51" t="e">
        <f t="shared" si="1"/>
        <v>#VALUE!</v>
      </c>
      <c r="O6" s="51" t="e">
        <f t="shared" si="1"/>
        <v>#VALUE!</v>
      </c>
      <c r="P6" s="51" t="e">
        <f t="shared" si="1"/>
        <v>#VALUE!</v>
      </c>
      <c r="Q6" s="51" t="e">
        <f t="shared" si="1"/>
        <v>#VALUE!</v>
      </c>
      <c r="R6" s="51" t="e">
        <f t="shared" si="1"/>
        <v>#VALUE!</v>
      </c>
      <c r="S6" s="51" t="e">
        <f t="shared" si="1"/>
        <v>#VALUE!</v>
      </c>
      <c r="T6" s="51" t="e">
        <f t="shared" si="1"/>
        <v>#VALUE!</v>
      </c>
      <c r="U6" s="51" t="e">
        <f t="shared" si="1"/>
        <v>#VALUE!</v>
      </c>
      <c r="V6" s="51" t="e">
        <f t="shared" si="1"/>
        <v>#VALUE!</v>
      </c>
      <c r="W6" s="51" t="e">
        <f t="shared" si="1"/>
        <v>#VALUE!</v>
      </c>
      <c r="X6" s="51" t="e">
        <f t="shared" si="1"/>
        <v>#VALUE!</v>
      </c>
      <c r="Y6" s="51" t="e">
        <f t="shared" si="1"/>
        <v>#VALUE!</v>
      </c>
      <c r="Z6" s="51" t="e">
        <f t="shared" si="1"/>
        <v>#VALUE!</v>
      </c>
      <c r="AA6" s="51" t="e">
        <f t="shared" si="1"/>
        <v>#VALUE!</v>
      </c>
      <c r="AB6" s="51" t="e">
        <f t="shared" si="1"/>
        <v>#VALUE!</v>
      </c>
    </row>
    <row r="7" ht="15" customHeight="1" spans="1:28">
      <c r="A7" s="29" t="s">
        <v>551</v>
      </c>
      <c r="B7" s="24" t="s">
        <v>508</v>
      </c>
      <c r="C7" s="51">
        <f>财务计划现金流量表!D37</f>
        <v>0</v>
      </c>
      <c r="D7" s="51" t="e">
        <f>财务计划现金流量表!E37</f>
        <v>#VALUE!</v>
      </c>
      <c r="E7" s="51" t="e">
        <f>财务计划现金流量表!F37</f>
        <v>#VALUE!</v>
      </c>
      <c r="F7" s="51" t="e">
        <f>财务计划现金流量表!G37</f>
        <v>#VALUE!</v>
      </c>
      <c r="G7" s="51" t="e">
        <f>财务计划现金流量表!H37</f>
        <v>#VALUE!</v>
      </c>
      <c r="H7" s="51" t="e">
        <f>财务计划现金流量表!I37</f>
        <v>#VALUE!</v>
      </c>
      <c r="I7" s="51" t="e">
        <f>财务计划现金流量表!J37</f>
        <v>#VALUE!</v>
      </c>
      <c r="J7" s="51" t="e">
        <f>财务计划现金流量表!K37</f>
        <v>#VALUE!</v>
      </c>
      <c r="K7" s="51" t="e">
        <f>财务计划现金流量表!L37</f>
        <v>#VALUE!</v>
      </c>
      <c r="L7" s="51" t="e">
        <f>财务计划现金流量表!M37</f>
        <v>#VALUE!</v>
      </c>
      <c r="M7" s="51" t="e">
        <f>财务计划现金流量表!N37</f>
        <v>#VALUE!</v>
      </c>
      <c r="N7" s="51" t="e">
        <f>财务计划现金流量表!O37</f>
        <v>#VALUE!</v>
      </c>
      <c r="O7" s="51" t="e">
        <f>财务计划现金流量表!P37</f>
        <v>#VALUE!</v>
      </c>
      <c r="P7" s="51" t="e">
        <f>财务计划现金流量表!Q37</f>
        <v>#VALUE!</v>
      </c>
      <c r="Q7" s="51" t="e">
        <f>财务计划现金流量表!R37</f>
        <v>#VALUE!</v>
      </c>
      <c r="R7" s="51" t="e">
        <f>财务计划现金流量表!S37</f>
        <v>#VALUE!</v>
      </c>
      <c r="S7" s="51" t="e">
        <f>财务计划现金流量表!T37</f>
        <v>#VALUE!</v>
      </c>
      <c r="T7" s="51" t="e">
        <f>财务计划现金流量表!U37</f>
        <v>#VALUE!</v>
      </c>
      <c r="U7" s="51" t="e">
        <f>财务计划现金流量表!V37</f>
        <v>#VALUE!</v>
      </c>
      <c r="V7" s="51" t="e">
        <f>财务计划现金流量表!W37</f>
        <v>#VALUE!</v>
      </c>
      <c r="W7" s="51" t="e">
        <f>财务计划现金流量表!X37</f>
        <v>#VALUE!</v>
      </c>
      <c r="X7" s="51" t="e">
        <f>财务计划现金流量表!Y37</f>
        <v>#VALUE!</v>
      </c>
      <c r="Y7" s="51" t="e">
        <f>财务计划现金流量表!Z37</f>
        <v>#VALUE!</v>
      </c>
      <c r="Z7" s="51" t="e">
        <f>财务计划现金流量表!AA37</f>
        <v>#VALUE!</v>
      </c>
      <c r="AA7" s="51" t="e">
        <f>财务计划现金流量表!AB37</f>
        <v>#VALUE!</v>
      </c>
      <c r="AB7" s="51" t="e">
        <f>财务计划现金流量表!AC37</f>
        <v>#VALUE!</v>
      </c>
    </row>
    <row r="8" ht="15" customHeight="1" spans="1:28">
      <c r="A8" s="29" t="s">
        <v>619</v>
      </c>
      <c r="B8" s="24" t="s">
        <v>620</v>
      </c>
      <c r="C8" s="51">
        <f>IF(COLUMN()-2&lt;基本参数!$B$2,SUM(财务计划现金流量表!$D$22:D22),0)</f>
        <v>0</v>
      </c>
      <c r="D8" s="54">
        <f>IF(COLUMN()-2&lt;基本参数!$B$2,SUM(财务计划现金流量表!$D$22:E22),0)</f>
        <v>0</v>
      </c>
      <c r="E8" s="54">
        <f>IF(COLUMN()-2&lt;基本参数!$B$2,SUM(财务计划现金流量表!$D$22:F22),0)</f>
        <v>0</v>
      </c>
      <c r="F8" s="54">
        <f>IF(COLUMN()-2&lt;基本参数!$B$2,SUM(财务计划现金流量表!$D$22:G22),0)</f>
        <v>0</v>
      </c>
      <c r="G8" s="54">
        <f>IF(COLUMN()-2&lt;基本参数!$B$2,SUM(财务计划现金流量表!$D$22:H22),0)</f>
        <v>0</v>
      </c>
      <c r="H8" s="54">
        <f>IF(COLUMN()-2&lt;基本参数!$B$2,SUM(财务计划现金流量表!$D$22:I22),0)</f>
        <v>0</v>
      </c>
      <c r="I8" s="54">
        <f>IF(COLUMN()-2&lt;基本参数!$B$2,SUM(财务计划现金流量表!$D$22:J22),0)</f>
        <v>0</v>
      </c>
      <c r="J8" s="54">
        <f>IF(COLUMN()-2&lt;基本参数!$B$2,SUM(财务计划现金流量表!$D$22:K22),0)</f>
        <v>0</v>
      </c>
      <c r="K8" s="54">
        <f>IF(COLUMN()-2&lt;基本参数!$B$2,SUM(财务计划现金流量表!$D$22:L22),0)</f>
        <v>0</v>
      </c>
      <c r="L8" s="54">
        <f>IF(COLUMN()-2&lt;基本参数!$B$2,SUM(财务计划现金流量表!$D$22:M22),0)</f>
        <v>0</v>
      </c>
      <c r="M8" s="54">
        <f>IF(COLUMN()-2&lt;基本参数!$B$2,SUM(财务计划现金流量表!$D$22:N22),0)</f>
        <v>0</v>
      </c>
      <c r="N8" s="54">
        <f>IF(COLUMN()-2&lt;基本参数!$B$2,SUM(财务计划现金流量表!$D$22:O22),0)</f>
        <v>0</v>
      </c>
      <c r="O8" s="54">
        <f>IF(COLUMN()-2&lt;基本参数!$B$2,SUM(财务计划现金流量表!$D$22:P22),0)</f>
        <v>0</v>
      </c>
      <c r="P8" s="54">
        <f>IF(COLUMN()-2&lt;基本参数!$B$2,SUM(财务计划现金流量表!$D$22:Q22),0)</f>
        <v>0</v>
      </c>
      <c r="Q8" s="54">
        <f>IF(COLUMN()-2&lt;基本参数!$B$2,SUM(财务计划现金流量表!$D$22:R22),0)</f>
        <v>0</v>
      </c>
      <c r="R8" s="54">
        <f>IF(COLUMN()-2&lt;基本参数!$B$2,SUM(财务计划现金流量表!$D$22:S22),0)</f>
        <v>0</v>
      </c>
      <c r="S8" s="54">
        <f>IF(COLUMN()-2&lt;基本参数!$B$2,SUM(财务计划现金流量表!$D$22:T22),0)</f>
        <v>0</v>
      </c>
      <c r="T8" s="54">
        <f>IF(COLUMN()-2&lt;基本参数!$B$2,SUM(财务计划现金流量表!$D$22:U22),0)</f>
        <v>0</v>
      </c>
      <c r="U8" s="54">
        <f>IF(COLUMN()-2&lt;基本参数!$B$2,SUM(财务计划现金流量表!$D$22:V22),0)</f>
        <v>0</v>
      </c>
      <c r="V8" s="54">
        <f>IF(COLUMN()-2&lt;基本参数!$B$2,SUM(财务计划现金流量表!$D$22:W22),0)</f>
        <v>0</v>
      </c>
      <c r="W8" s="54">
        <f>IF(COLUMN()-2&lt;基本参数!$B$2,SUM(财务计划现金流量表!$D$22:X22),0)</f>
        <v>0</v>
      </c>
      <c r="X8" s="54">
        <f>IF(COLUMN()-2&lt;基本参数!$B$2,SUM(财务计划现金流量表!$D$22:Y22),0)</f>
        <v>0</v>
      </c>
      <c r="Y8" s="54">
        <f>IF(COLUMN()-2&lt;基本参数!$B$2,SUM(财务计划现金流量表!$D$22:Z22),0)</f>
        <v>0</v>
      </c>
      <c r="Z8" s="54">
        <f>IF(COLUMN()-2&lt;基本参数!$B$2,SUM(财务计划现金流量表!$D$22:AA22),0)</f>
        <v>0</v>
      </c>
      <c r="AA8" s="54">
        <f>IF(COLUMN()-2&lt;基本参数!$B$2,SUM(财务计划现金流量表!$D$22:AB22),0)</f>
        <v>0</v>
      </c>
      <c r="AB8" s="54">
        <f>IF(COLUMN()-2&lt;基本参数!$B$2,SUM(财务计划现金流量表!$D$22:AC22),0)</f>
        <v>0</v>
      </c>
    </row>
    <row r="9" ht="15" customHeight="1" spans="1:28">
      <c r="A9" s="29">
        <v>1.2</v>
      </c>
      <c r="B9" s="24" t="s">
        <v>398</v>
      </c>
      <c r="C9" s="51">
        <f>成本费用!C88</f>
        <v>0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ht="15" customHeight="1" spans="1:28">
      <c r="A10" s="29">
        <v>1.3</v>
      </c>
      <c r="B10" s="24" t="s">
        <v>621</v>
      </c>
      <c r="C10" s="51">
        <f ca="1">IF(COLUMN()-2&lt;=基本参数!$B$2,成本费用!C90-SUM(项目投资现金流量表!$D$9:项目投资现金流量表!D9),0)</f>
        <v>0</v>
      </c>
      <c r="D10" s="57">
        <f ca="1">IF(COLUMN()-2&lt;=基本参数!$B$2,成本费用!D90-SUM(项目投资现金流量表!$D$9:项目投资现金流量表!E9),0)</f>
        <v>0</v>
      </c>
      <c r="E10" s="57">
        <f ca="1">IF(COLUMN()-2&lt;=基本参数!$B$2,成本费用!E90-SUM(项目投资现金流量表!$D$9:项目投资现金流量表!F9),0)</f>
        <v>0</v>
      </c>
      <c r="F10" s="57">
        <f ca="1">IF(COLUMN()-2&lt;=基本参数!$B$2,成本费用!F90-SUM(项目投资现金流量表!$D$9:项目投资现金流量表!G9),0)</f>
        <v>0</v>
      </c>
      <c r="G10" s="57">
        <f ca="1">IF(COLUMN()-2&lt;=基本参数!$B$2,成本费用!G90-SUM(项目投资现金流量表!$D$9:项目投资现金流量表!H9),0)</f>
        <v>0</v>
      </c>
      <c r="H10" s="57">
        <f ca="1">IF(COLUMN()-2&lt;=基本参数!$B$2,成本费用!H90-SUM(项目投资现金流量表!$D$9:项目投资现金流量表!I9),0)</f>
        <v>0</v>
      </c>
      <c r="I10" s="57">
        <f ca="1">IF(COLUMN()-2&lt;=基本参数!$B$2,成本费用!I90-SUM(项目投资现金流量表!$D$9:项目投资现金流量表!J9),0)</f>
        <v>0</v>
      </c>
      <c r="J10" s="57">
        <f ca="1">IF(COLUMN()-2&lt;=基本参数!$B$2,成本费用!J90-SUM(项目投资现金流量表!$D$9:项目投资现金流量表!K9),0)</f>
        <v>0</v>
      </c>
      <c r="K10" s="57">
        <f ca="1">IF(COLUMN()-2&lt;=基本参数!$B$2,成本费用!K90-SUM(项目投资现金流量表!$D$9:项目投资现金流量表!L9),0)</f>
        <v>0</v>
      </c>
      <c r="L10" s="57">
        <f ca="1">IF(COLUMN()-2&lt;=基本参数!$B$2,成本费用!L90-SUM(项目投资现金流量表!$D$9:项目投资现金流量表!M9),0)</f>
        <v>0</v>
      </c>
      <c r="M10" s="57">
        <f ca="1">IF(COLUMN()-2&lt;=基本参数!$B$2,成本费用!M90-SUM(项目投资现金流量表!$D$9:项目投资现金流量表!N9),0)</f>
        <v>0</v>
      </c>
      <c r="N10" s="57">
        <f ca="1">IF(COLUMN()-2&lt;=基本参数!$B$2,成本费用!N90-SUM(项目投资现金流量表!$D$9:项目投资现金流量表!O9),0)</f>
        <v>0</v>
      </c>
      <c r="O10" s="57">
        <f ca="1">IF(COLUMN()-2&lt;=基本参数!$B$2,成本费用!O90-SUM(项目投资现金流量表!$D$9:项目投资现金流量表!P9),0)</f>
        <v>0</v>
      </c>
      <c r="P10" s="57">
        <f ca="1">IF(COLUMN()-2&lt;=基本参数!$B$2,成本费用!P90-SUM(项目投资现金流量表!$D$9:项目投资现金流量表!Q9),0)</f>
        <v>0</v>
      </c>
      <c r="Q10" s="57">
        <f ca="1">IF(COLUMN()-2&lt;=基本参数!$B$2,成本费用!Q90-SUM(项目投资现金流量表!$D$9:项目投资现金流量表!R9),0)</f>
        <v>0</v>
      </c>
      <c r="R10" s="57">
        <f ca="1">IF(COLUMN()-2&lt;=基本参数!$B$2,成本费用!R90-SUM(项目投资现金流量表!$D$9:项目投资现金流量表!S9),0)</f>
        <v>0</v>
      </c>
      <c r="S10" s="57">
        <f ca="1">IF(COLUMN()-2&lt;=基本参数!$B$2,成本费用!S90-SUM(项目投资现金流量表!$D$9:项目投资现金流量表!T9),0)</f>
        <v>0</v>
      </c>
      <c r="T10" s="57">
        <f ca="1">IF(COLUMN()-2&lt;=基本参数!$B$2,成本费用!T90-SUM(项目投资现金流量表!$D$9:项目投资现金流量表!U9),0)</f>
        <v>0</v>
      </c>
      <c r="U10" s="57">
        <f ca="1">IF(COLUMN()-2&lt;=基本参数!$B$2,成本费用!U90-SUM(项目投资现金流量表!$D$9:项目投资现金流量表!V9),0)</f>
        <v>0</v>
      </c>
      <c r="V10" s="57">
        <f ca="1">IF(COLUMN()-2&lt;=基本参数!$B$2,成本费用!V90-SUM(项目投资现金流量表!$D$9:项目投资现金流量表!W9),0)</f>
        <v>0</v>
      </c>
      <c r="W10" s="57">
        <f ca="1">IF(COLUMN()-2&lt;=基本参数!$B$2,成本费用!W90-SUM(项目投资现金流量表!$D$9:项目投资现金流量表!X9),0)</f>
        <v>0</v>
      </c>
      <c r="X10" s="57">
        <f ca="1">IF(COLUMN()-2&lt;=基本参数!$B$2,成本费用!X90-SUM(项目投资现金流量表!$D$9:项目投资现金流量表!Y9),0)</f>
        <v>0</v>
      </c>
      <c r="Y10" s="57">
        <f ca="1">IF(COLUMN()-2&lt;=基本参数!$B$2,成本费用!Y90-SUM(项目投资现金流量表!$D$9:项目投资现金流量表!Z9),0)</f>
        <v>0</v>
      </c>
      <c r="Z10" s="57">
        <f ca="1">IF(COLUMN()-2&lt;=基本参数!$B$2,成本费用!Z90-SUM(项目投资现金流量表!$D$9:项目投资现金流量表!AA9),0)</f>
        <v>0</v>
      </c>
      <c r="AA10" s="57">
        <f ca="1">IF(COLUMN()-2&lt;=基本参数!$B$2,成本费用!AA90-SUM(项目投资现金流量表!$D$9:项目投资现金流量表!AB9),0)</f>
        <v>0</v>
      </c>
      <c r="AB10" s="57">
        <f ca="1">IF(COLUMN()-2&lt;=基本参数!$B$2,成本费用!AB90-SUM(项目投资现金流量表!$D$9:项目投资现金流量表!AC9),0)</f>
        <v>0</v>
      </c>
    </row>
    <row r="11" ht="15" customHeight="1" spans="1:28">
      <c r="A11" s="29">
        <v>1.4</v>
      </c>
      <c r="B11" s="24" t="s">
        <v>622</v>
      </c>
      <c r="C11" s="51">
        <f>-SUM(成本费用!$C$56:C56)</f>
        <v>0</v>
      </c>
      <c r="D11" s="51">
        <f>SUM(基本参数!$B$13:$B$14)-SUM(成本费用!$C$56:D56)</f>
        <v>0</v>
      </c>
      <c r="E11" s="51">
        <f>SUM(基本参数!$B$13:$B$14)-SUM(成本费用!$C$56:E56)</f>
        <v>0</v>
      </c>
      <c r="F11" s="51">
        <f>SUM(基本参数!$B$13:$B$14)-SUM(成本费用!$C$56:F56)</f>
        <v>0</v>
      </c>
      <c r="G11" s="51">
        <f>SUM(基本参数!$B$13:$B$14)-SUM(成本费用!$C$56:G56)</f>
        <v>0</v>
      </c>
      <c r="H11" s="51">
        <f>SUM(基本参数!$B$13:$B$14)-SUM(成本费用!$C$56:H56)</f>
        <v>0</v>
      </c>
      <c r="I11" s="51">
        <f>SUM(基本参数!$B$13:$B$14)-SUM(成本费用!$C$56:I56)</f>
        <v>0</v>
      </c>
      <c r="J11" s="51">
        <f>SUM(基本参数!$B$13:$B$14)-SUM(成本费用!$C$56:J56)</f>
        <v>0</v>
      </c>
      <c r="K11" s="51">
        <f>SUM(基本参数!$B$13:$B$14)-SUM(成本费用!$C$56:K56)</f>
        <v>0</v>
      </c>
      <c r="L11" s="51">
        <f>SUM(基本参数!$B$13:$B$14)-SUM(成本费用!$C$56:L56)</f>
        <v>0</v>
      </c>
      <c r="M11" s="51">
        <f>SUM(基本参数!$B$13:$B$14)-SUM(成本费用!$C$56:M56)</f>
        <v>0</v>
      </c>
      <c r="N11" s="51">
        <f>SUM(基本参数!$B$13:$B$14)-SUM(成本费用!$C$56:N56)</f>
        <v>0</v>
      </c>
      <c r="O11" s="51">
        <f>SUM(基本参数!$B$13:$B$14)-SUM(成本费用!$C$56:O56)</f>
        <v>0</v>
      </c>
      <c r="P11" s="51">
        <f>SUM(基本参数!$B$13:$B$14)-SUM(成本费用!$C$56:P56)</f>
        <v>0</v>
      </c>
      <c r="Q11" s="51">
        <f>SUM(基本参数!$B$13:$B$14)-SUM(成本费用!$C$56:Q56)</f>
        <v>0</v>
      </c>
      <c r="R11" s="51">
        <f>SUM(基本参数!$B$13:$B$14)-SUM(成本费用!$C$56:R56)</f>
        <v>0</v>
      </c>
      <c r="S11" s="51">
        <f>SUM(基本参数!$B$13:$B$14)-SUM(成本费用!$C$56:S56)</f>
        <v>0</v>
      </c>
      <c r="T11" s="51">
        <f>SUM(基本参数!$B$13:$B$14)-SUM(成本费用!$C$56:T56)</f>
        <v>0</v>
      </c>
      <c r="U11" s="51">
        <f>SUM(基本参数!$B$13:$B$14)-SUM(成本费用!$C$56:U56)</f>
        <v>0</v>
      </c>
      <c r="V11" s="51">
        <f>SUM(基本参数!$B$13:$B$14)-SUM(成本费用!$C$56:V56)</f>
        <v>0</v>
      </c>
      <c r="W11" s="51">
        <f>SUM(基本参数!$B$13:$B$14)-SUM(成本费用!$C$56:W56)</f>
        <v>0</v>
      </c>
      <c r="X11" s="51">
        <f>SUM(基本参数!$B$13:$B$14)-SUM(成本费用!$C$56:X56)</f>
        <v>0</v>
      </c>
      <c r="Y11" s="51">
        <f>SUM(基本参数!$B$13:$B$14)-SUM(成本费用!$C$56:Y56)</f>
        <v>0</v>
      </c>
      <c r="Z11" s="51">
        <f>SUM(基本参数!$B$13:$B$14)-SUM(成本费用!$C$56:Z56)</f>
        <v>0</v>
      </c>
      <c r="AA11" s="51">
        <f>SUM(基本参数!$B$13:$B$14)-SUM(成本费用!$C$56:AA56)</f>
        <v>0</v>
      </c>
      <c r="AB11" s="51">
        <f>SUM(基本参数!$B$13:$B$14)-SUM(成本费用!$C$56:AB56)</f>
        <v>0</v>
      </c>
    </row>
    <row r="12" ht="15" customHeight="1" spans="1:28">
      <c r="A12" s="29">
        <v>1.5</v>
      </c>
      <c r="B12" s="24" t="s">
        <v>623</v>
      </c>
      <c r="C12" s="51">
        <v>0</v>
      </c>
      <c r="D12" s="51" t="e">
        <f>IF(COLUMN()-2&lt;=基本参数!$B$2,IF(D28&gt;0,D28,0),0)</f>
        <v>#VALUE!</v>
      </c>
      <c r="E12" s="51" t="e">
        <f>IF(COLUMN()-2&lt;=基本参数!$B$2,IF(E28&gt;0,E28,0),0)</f>
        <v>#VALUE!</v>
      </c>
      <c r="F12" s="51" t="e">
        <f>IF(COLUMN()-2&lt;=基本参数!$B$2,IF(F28&gt;0,F28,0),0)</f>
        <v>#VALUE!</v>
      </c>
      <c r="G12" s="51" t="e">
        <f>IF(COLUMN()-2&lt;=基本参数!$B$2,IF(G28&gt;0,G28,0),0)</f>
        <v>#VALUE!</v>
      </c>
      <c r="H12" s="51" t="e">
        <f>IF(COLUMN()-2&lt;=基本参数!$B$2,IF(H28&gt;0,H28,0),0)</f>
        <v>#VALUE!</v>
      </c>
      <c r="I12" s="51" t="e">
        <f>IF(COLUMN()-2&lt;=基本参数!$B$2,IF(I28&gt;0,I28,0),0)</f>
        <v>#VALUE!</v>
      </c>
      <c r="J12" s="51" t="e">
        <f>IF(COLUMN()-2&lt;=基本参数!$B$2,IF(J28&gt;0,J28,0),0)</f>
        <v>#VALUE!</v>
      </c>
      <c r="K12" s="51" t="e">
        <f>IF(COLUMN()-2&lt;=基本参数!$B$2,IF(K28&gt;0,K28,0),0)</f>
        <v>#VALUE!</v>
      </c>
      <c r="L12" s="51" t="e">
        <f>IF(COLUMN()-2&lt;=基本参数!$B$2,IF(L28&gt;0,L28,0),0)</f>
        <v>#VALUE!</v>
      </c>
      <c r="M12" s="51" t="e">
        <f>IF(COLUMN()-2&lt;=基本参数!$B$2,IF(M28&gt;0,M28,0),0)</f>
        <v>#VALUE!</v>
      </c>
      <c r="N12" s="51" t="e">
        <f>IF(COLUMN()-2&lt;=基本参数!$B$2,IF(N28&gt;0,N28,0),0)</f>
        <v>#VALUE!</v>
      </c>
      <c r="O12" s="51" t="e">
        <f>IF(COLUMN()-2&lt;=基本参数!$B$2,IF(O28&gt;0,O28,0),0)</f>
        <v>#VALUE!</v>
      </c>
      <c r="P12" s="51" t="e">
        <f>IF(COLUMN()-2&lt;=基本参数!$B$2,IF(P28&gt;0,P28,0),0)</f>
        <v>#VALUE!</v>
      </c>
      <c r="Q12" s="51" t="e">
        <f>IF(COLUMN()-2&lt;=基本参数!$B$2,IF(Q28&gt;0,Q28,0),0)</f>
        <v>#VALUE!</v>
      </c>
      <c r="R12" s="51" t="e">
        <f>IF(COLUMN()-2&lt;=基本参数!$B$2,IF(R28&gt;0,R28,0),0)</f>
        <v>#VALUE!</v>
      </c>
      <c r="S12" s="51" t="e">
        <f>IF(COLUMN()-2&lt;=基本参数!$B$2,IF(S28&gt;0,S28,0),0)</f>
        <v>#VALUE!</v>
      </c>
      <c r="T12" s="51" t="e">
        <f>IF(COLUMN()-2&lt;=基本参数!$B$2,IF(T28&gt;0,T28,0),0)</f>
        <v>#VALUE!</v>
      </c>
      <c r="U12" s="51" t="e">
        <f>IF(COLUMN()-2&lt;=基本参数!$B$2,IF(U28&gt;0,U28,0),0)</f>
        <v>#VALUE!</v>
      </c>
      <c r="V12" s="51" t="e">
        <f>IF(COLUMN()-2&lt;=基本参数!$B$2,IF(V28&gt;0,V28,0),0)</f>
        <v>#VALUE!</v>
      </c>
      <c r="W12" s="51" t="e">
        <f>IF(COLUMN()-2&lt;=基本参数!$B$2,IF(W28&gt;0,W28,0),0)</f>
        <v>#VALUE!</v>
      </c>
      <c r="X12" s="51" t="e">
        <f>IF(COLUMN()-2&lt;=基本参数!$B$2,IF(X28&gt;0,X28,0),0)</f>
        <v>#VALUE!</v>
      </c>
      <c r="Y12" s="51" t="e">
        <f>IF(COLUMN()-2&lt;=基本参数!$B$2,IF(Y28&gt;0,Y28,0),0)</f>
        <v>#VALUE!</v>
      </c>
      <c r="Z12" s="51" t="e">
        <f>IF(COLUMN()-2&lt;=基本参数!$B$2,IF(Z28&gt;0,Z28,0),0)</f>
        <v>#VALUE!</v>
      </c>
      <c r="AA12" s="51" t="e">
        <f>IF(COLUMN()-2&lt;=基本参数!$B$2,IF(AA28&gt;0,AA28,0),0)</f>
        <v>#VALUE!</v>
      </c>
      <c r="AB12" s="51" t="e">
        <f>IF(COLUMN()-2&lt;=基本参数!$B$2,IF(AB28&gt;0,AB28,0),0)</f>
        <v>#VALUE!</v>
      </c>
    </row>
    <row r="13" ht="15" customHeight="1" spans="1:28">
      <c r="A13" s="68">
        <v>2</v>
      </c>
      <c r="B13" s="24" t="s">
        <v>624</v>
      </c>
      <c r="C13" s="51">
        <f t="shared" ref="C13:AB13" si="2">C19+C20</f>
        <v>0</v>
      </c>
      <c r="D13" s="51" t="e">
        <f t="shared" si="2"/>
        <v>#VALUE!</v>
      </c>
      <c r="E13" s="51" t="e">
        <f t="shared" si="2"/>
        <v>#VALUE!</v>
      </c>
      <c r="F13" s="51" t="e">
        <f t="shared" si="2"/>
        <v>#VALUE!</v>
      </c>
      <c r="G13" s="51" t="e">
        <f t="shared" si="2"/>
        <v>#VALUE!</v>
      </c>
      <c r="H13" s="51" t="e">
        <f t="shared" si="2"/>
        <v>#VALUE!</v>
      </c>
      <c r="I13" s="51" t="e">
        <f t="shared" si="2"/>
        <v>#VALUE!</v>
      </c>
      <c r="J13" s="51" t="e">
        <f t="shared" si="2"/>
        <v>#VALUE!</v>
      </c>
      <c r="K13" s="51" t="e">
        <f t="shared" si="2"/>
        <v>#VALUE!</v>
      </c>
      <c r="L13" s="51" t="e">
        <f t="shared" si="2"/>
        <v>#VALUE!</v>
      </c>
      <c r="M13" s="51" t="e">
        <f t="shared" si="2"/>
        <v>#VALUE!</v>
      </c>
      <c r="N13" s="51" t="e">
        <f t="shared" si="2"/>
        <v>#VALUE!</v>
      </c>
      <c r="O13" s="51" t="e">
        <f t="shared" si="2"/>
        <v>#VALUE!</v>
      </c>
      <c r="P13" s="51" t="e">
        <f t="shared" si="2"/>
        <v>#VALUE!</v>
      </c>
      <c r="Q13" s="51" t="e">
        <f t="shared" si="2"/>
        <v>#VALUE!</v>
      </c>
      <c r="R13" s="51" t="e">
        <f t="shared" si="2"/>
        <v>#VALUE!</v>
      </c>
      <c r="S13" s="51" t="e">
        <f t="shared" si="2"/>
        <v>#VALUE!</v>
      </c>
      <c r="T13" s="51" t="e">
        <f t="shared" si="2"/>
        <v>#VALUE!</v>
      </c>
      <c r="U13" s="51" t="e">
        <f t="shared" si="2"/>
        <v>#VALUE!</v>
      </c>
      <c r="V13" s="51" t="e">
        <f t="shared" si="2"/>
        <v>#VALUE!</v>
      </c>
      <c r="W13" s="51" t="e">
        <f t="shared" si="2"/>
        <v>#VALUE!</v>
      </c>
      <c r="X13" s="51" t="e">
        <f t="shared" si="2"/>
        <v>#VALUE!</v>
      </c>
      <c r="Y13" s="51" t="e">
        <f t="shared" si="2"/>
        <v>#VALUE!</v>
      </c>
      <c r="Z13" s="51" t="e">
        <f t="shared" si="2"/>
        <v>#VALUE!</v>
      </c>
      <c r="AA13" s="51" t="e">
        <f t="shared" si="2"/>
        <v>#VALUE!</v>
      </c>
      <c r="AB13" s="51" t="e">
        <f t="shared" si="2"/>
        <v>#VALUE!</v>
      </c>
    </row>
    <row r="14" ht="15" customHeight="1" spans="1:28">
      <c r="A14" s="29">
        <v>2.1</v>
      </c>
      <c r="B14" s="24" t="s">
        <v>625</v>
      </c>
      <c r="C14" s="51">
        <f t="shared" ref="C14:AB14" si="3">C15+C16</f>
        <v>0</v>
      </c>
      <c r="D14" s="51" t="e">
        <f t="shared" si="3"/>
        <v>#VALUE!</v>
      </c>
      <c r="E14" s="51" t="e">
        <f t="shared" si="3"/>
        <v>#VALUE!</v>
      </c>
      <c r="F14" s="51" t="e">
        <f t="shared" si="3"/>
        <v>#VALUE!</v>
      </c>
      <c r="G14" s="51" t="e">
        <f t="shared" si="3"/>
        <v>#VALUE!</v>
      </c>
      <c r="H14" s="51" t="e">
        <f t="shared" si="3"/>
        <v>#VALUE!</v>
      </c>
      <c r="I14" s="51" t="e">
        <f t="shared" si="3"/>
        <v>#VALUE!</v>
      </c>
      <c r="J14" s="51" t="e">
        <f t="shared" si="3"/>
        <v>#VALUE!</v>
      </c>
      <c r="K14" s="51" t="e">
        <f t="shared" si="3"/>
        <v>#VALUE!</v>
      </c>
      <c r="L14" s="51" t="e">
        <f t="shared" si="3"/>
        <v>#VALUE!</v>
      </c>
      <c r="M14" s="51" t="e">
        <f t="shared" si="3"/>
        <v>#VALUE!</v>
      </c>
      <c r="N14" s="51" t="e">
        <f t="shared" si="3"/>
        <v>#VALUE!</v>
      </c>
      <c r="O14" s="51" t="e">
        <f t="shared" si="3"/>
        <v>#VALUE!</v>
      </c>
      <c r="P14" s="51" t="e">
        <f t="shared" si="3"/>
        <v>#VALUE!</v>
      </c>
      <c r="Q14" s="51" t="e">
        <f t="shared" si="3"/>
        <v>#VALUE!</v>
      </c>
      <c r="R14" s="51" t="e">
        <f t="shared" si="3"/>
        <v>#VALUE!</v>
      </c>
      <c r="S14" s="51" t="e">
        <f t="shared" si="3"/>
        <v>#VALUE!</v>
      </c>
      <c r="T14" s="51" t="e">
        <f t="shared" si="3"/>
        <v>#VALUE!</v>
      </c>
      <c r="U14" s="51" t="e">
        <f t="shared" si="3"/>
        <v>#VALUE!</v>
      </c>
      <c r="V14" s="51" t="e">
        <f t="shared" si="3"/>
        <v>#VALUE!</v>
      </c>
      <c r="W14" s="51" t="e">
        <f t="shared" si="3"/>
        <v>#VALUE!</v>
      </c>
      <c r="X14" s="51" t="e">
        <f t="shared" si="3"/>
        <v>#VALUE!</v>
      </c>
      <c r="Y14" s="51" t="e">
        <f t="shared" si="3"/>
        <v>#VALUE!</v>
      </c>
      <c r="Z14" s="51" t="e">
        <f t="shared" si="3"/>
        <v>#VALUE!</v>
      </c>
      <c r="AA14" s="51" t="e">
        <f t="shared" si="3"/>
        <v>#VALUE!</v>
      </c>
      <c r="AB14" s="51" t="e">
        <f t="shared" si="3"/>
        <v>#VALUE!</v>
      </c>
    </row>
    <row r="15" ht="15" customHeight="1" spans="1:28">
      <c r="A15" s="29" t="s">
        <v>471</v>
      </c>
      <c r="B15" s="24" t="s">
        <v>574</v>
      </c>
      <c r="C15" s="51">
        <f>借款还本付息计划表!D20</f>
        <v>0</v>
      </c>
      <c r="D15" s="51" t="e">
        <f>借款还本付息计划表!E20</f>
        <v>#VALUE!</v>
      </c>
      <c r="E15" s="51" t="e">
        <f>借款还本付息计划表!F20</f>
        <v>#VALUE!</v>
      </c>
      <c r="F15" s="51" t="e">
        <f>借款还本付息计划表!G20</f>
        <v>#VALUE!</v>
      </c>
      <c r="G15" s="51" t="e">
        <f>借款还本付息计划表!H20</f>
        <v>#VALUE!</v>
      </c>
      <c r="H15" s="51" t="e">
        <f>借款还本付息计划表!I20</f>
        <v>#VALUE!</v>
      </c>
      <c r="I15" s="51" t="e">
        <f>借款还本付息计划表!J20</f>
        <v>#VALUE!</v>
      </c>
      <c r="J15" s="51" t="e">
        <f>借款还本付息计划表!K20</f>
        <v>#VALUE!</v>
      </c>
      <c r="K15" s="51" t="e">
        <f>借款还本付息计划表!L20</f>
        <v>#VALUE!</v>
      </c>
      <c r="L15" s="51" t="e">
        <f>借款还本付息计划表!M20</f>
        <v>#VALUE!</v>
      </c>
      <c r="M15" s="51" t="e">
        <f>借款还本付息计划表!N20</f>
        <v>#VALUE!</v>
      </c>
      <c r="N15" s="51" t="e">
        <f>借款还本付息计划表!O20</f>
        <v>#VALUE!</v>
      </c>
      <c r="O15" s="51" t="e">
        <f>借款还本付息计划表!P20</f>
        <v>#VALUE!</v>
      </c>
      <c r="P15" s="51" t="e">
        <f>借款还本付息计划表!Q20</f>
        <v>#VALUE!</v>
      </c>
      <c r="Q15" s="51" t="e">
        <f>借款还本付息计划表!R20</f>
        <v>#VALUE!</v>
      </c>
      <c r="R15" s="51" t="e">
        <f>借款还本付息计划表!S20</f>
        <v>#VALUE!</v>
      </c>
      <c r="S15" s="51" t="e">
        <f>借款还本付息计划表!T20</f>
        <v>#VALUE!</v>
      </c>
      <c r="T15" s="51" t="e">
        <f>借款还本付息计划表!U20</f>
        <v>#VALUE!</v>
      </c>
      <c r="U15" s="51" t="e">
        <f>借款还本付息计划表!V20</f>
        <v>#VALUE!</v>
      </c>
      <c r="V15" s="51" t="e">
        <f>借款还本付息计划表!W20</f>
        <v>#VALUE!</v>
      </c>
      <c r="W15" s="51" t="e">
        <f>借款还本付息计划表!X20</f>
        <v>#VALUE!</v>
      </c>
      <c r="X15" s="51" t="e">
        <f>借款还本付息计划表!Y20</f>
        <v>#VALUE!</v>
      </c>
      <c r="Y15" s="51" t="e">
        <f>借款还本付息计划表!Z20</f>
        <v>#VALUE!</v>
      </c>
      <c r="Z15" s="51" t="e">
        <f>借款还本付息计划表!AA20</f>
        <v>#VALUE!</v>
      </c>
      <c r="AA15" s="51" t="e">
        <f>借款还本付息计划表!AB20</f>
        <v>#VALUE!</v>
      </c>
      <c r="AB15" s="51" t="e">
        <f>借款还本付息计划表!AC20</f>
        <v>#VALUE!</v>
      </c>
    </row>
    <row r="16" ht="15" customHeight="1" spans="1:28">
      <c r="A16" s="29" t="s">
        <v>473</v>
      </c>
      <c r="B16" s="24" t="s">
        <v>626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</row>
    <row r="17" ht="15" customHeight="1" spans="1:28">
      <c r="A17" s="29">
        <v>2.2</v>
      </c>
      <c r="B17" s="24" t="s">
        <v>569</v>
      </c>
      <c r="C17" s="51">
        <f>借款还本付息计划表!E6</f>
        <v>0</v>
      </c>
      <c r="D17" s="51">
        <f>借款还本付息计划表!F6</f>
        <v>0</v>
      </c>
      <c r="E17" s="51">
        <f>借款还本付息计划表!G6</f>
        <v>0</v>
      </c>
      <c r="F17" s="51">
        <f>借款还本付息计划表!H6</f>
        <v>0</v>
      </c>
      <c r="G17" s="51">
        <f>借款还本付息计划表!I6</f>
        <v>0</v>
      </c>
      <c r="H17" s="51">
        <f>借款还本付息计划表!J6</f>
        <v>0</v>
      </c>
      <c r="I17" s="51">
        <f>借款还本付息计划表!K6</f>
        <v>0</v>
      </c>
      <c r="J17" s="51">
        <f>借款还本付息计划表!L6</f>
        <v>0</v>
      </c>
      <c r="K17" s="51">
        <f>借款还本付息计划表!M6</f>
        <v>0</v>
      </c>
      <c r="L17" s="51">
        <f>借款还本付息计划表!N6</f>
        <v>0</v>
      </c>
      <c r="M17" s="51">
        <f>借款还本付息计划表!O6</f>
        <v>0</v>
      </c>
      <c r="N17" s="51">
        <f>借款还本付息计划表!P6</f>
        <v>0</v>
      </c>
      <c r="O17" s="51">
        <f>借款还本付息计划表!Q6</f>
        <v>0</v>
      </c>
      <c r="P17" s="51">
        <f>借款还本付息计划表!R6</f>
        <v>0</v>
      </c>
      <c r="Q17" s="51">
        <f>借款还本付息计划表!S6</f>
        <v>0</v>
      </c>
      <c r="R17" s="51">
        <f>借款还本付息计划表!T6</f>
        <v>0</v>
      </c>
      <c r="S17" s="51">
        <f>借款还本付息计划表!U6</f>
        <v>0</v>
      </c>
      <c r="T17" s="51">
        <f>借款还本付息计划表!V6</f>
        <v>0</v>
      </c>
      <c r="U17" s="51">
        <f>借款还本付息计划表!W6</f>
        <v>0</v>
      </c>
      <c r="V17" s="51">
        <f>借款还本付息计划表!X6</f>
        <v>0</v>
      </c>
      <c r="W17" s="51">
        <f>借款还本付息计划表!Y6</f>
        <v>0</v>
      </c>
      <c r="X17" s="51">
        <f>借款还本付息计划表!Z6</f>
        <v>0</v>
      </c>
      <c r="Y17" s="51">
        <f>借款还本付息计划表!AA6</f>
        <v>0</v>
      </c>
      <c r="Z17" s="51">
        <f>借款还本付息计划表!AB6</f>
        <v>0</v>
      </c>
      <c r="AA17" s="51">
        <f>借款还本付息计划表!AC6</f>
        <v>0</v>
      </c>
      <c r="AB17" s="51">
        <f>借款还本付息计划表!AD6</f>
        <v>0</v>
      </c>
    </row>
    <row r="18" ht="15" customHeight="1" spans="1:28">
      <c r="A18" s="29">
        <v>2.3</v>
      </c>
      <c r="B18" s="24" t="s">
        <v>479</v>
      </c>
      <c r="C18" s="51">
        <f>IF(COLUMN()-2&lt;基本参数!$B$2,借款还本付息计划表!D12,0)</f>
        <v>0</v>
      </c>
      <c r="D18" s="51">
        <f>IF(COLUMN()-2&lt;基本参数!$B$2,借款还本付息计划表!E12,0)</f>
        <v>0</v>
      </c>
      <c r="E18" s="51">
        <f>IF(COLUMN()-2&lt;基本参数!$B$2,借款还本付息计划表!F12,0)</f>
        <v>0</v>
      </c>
      <c r="F18" s="51">
        <f>IF(COLUMN()-2&lt;基本参数!$B$2,借款还本付息计划表!G12,0)</f>
        <v>0</v>
      </c>
      <c r="G18" s="51">
        <f>IF(COLUMN()-2&lt;基本参数!$B$2,借款还本付息计划表!H12,0)</f>
        <v>0</v>
      </c>
      <c r="H18" s="51">
        <f>IF(COLUMN()-2&lt;基本参数!$B$2,借款还本付息计划表!I12,0)</f>
        <v>0</v>
      </c>
      <c r="I18" s="51">
        <f>IF(COLUMN()-2&lt;基本参数!$B$2,借款还本付息计划表!J12,0)</f>
        <v>0</v>
      </c>
      <c r="J18" s="51">
        <f>IF(COLUMN()-2&lt;基本参数!$B$2,借款还本付息计划表!K12,0)</f>
        <v>0</v>
      </c>
      <c r="K18" s="51">
        <f>IF(COLUMN()-2&lt;基本参数!$B$2,借款还本付息计划表!L12,0)</f>
        <v>0</v>
      </c>
      <c r="L18" s="51">
        <f>IF(COLUMN()-2&lt;基本参数!$B$2,借款还本付息计划表!M12,0)</f>
        <v>0</v>
      </c>
      <c r="M18" s="51">
        <f>IF(COLUMN()-2&lt;基本参数!$B$2,借款还本付息计划表!N12,0)</f>
        <v>0</v>
      </c>
      <c r="N18" s="51">
        <f>IF(COLUMN()-2&lt;基本参数!$B$2,借款还本付息计划表!O12,0)</f>
        <v>0</v>
      </c>
      <c r="O18" s="51">
        <f>IF(COLUMN()-2&lt;基本参数!$B$2,借款还本付息计划表!P12,0)</f>
        <v>0</v>
      </c>
      <c r="P18" s="51">
        <f>IF(COLUMN()-2&lt;基本参数!$B$2,借款还本付息计划表!Q12,0)</f>
        <v>0</v>
      </c>
      <c r="Q18" s="51">
        <f>IF(COLUMN()-2&lt;基本参数!$B$2,借款还本付息计划表!R12,0)</f>
        <v>0</v>
      </c>
      <c r="R18" s="51">
        <f>IF(COLUMN()-2&lt;基本参数!$B$2,借款还本付息计划表!S12,0)</f>
        <v>0</v>
      </c>
      <c r="S18" s="51">
        <f>IF(COLUMN()-2&lt;基本参数!$B$2,借款还本付息计划表!T12,0)</f>
        <v>0</v>
      </c>
      <c r="T18" s="51">
        <f>IF(COLUMN()-2&lt;基本参数!$B$2,借款还本付息计划表!U12,0)</f>
        <v>0</v>
      </c>
      <c r="U18" s="51">
        <f>IF(COLUMN()-2&lt;基本参数!$B$2,借款还本付息计划表!V12,0)</f>
        <v>0</v>
      </c>
      <c r="V18" s="51">
        <f>IF(COLUMN()-2&lt;基本参数!$B$2,借款还本付息计划表!W12,0)</f>
        <v>0</v>
      </c>
      <c r="W18" s="51">
        <f>IF(COLUMN()-2&lt;基本参数!$B$2,借款还本付息计划表!X12,0)</f>
        <v>0</v>
      </c>
      <c r="X18" s="51">
        <f>IF(COLUMN()-2&lt;基本参数!$B$2,借款还本付息计划表!Y12,0)</f>
        <v>0</v>
      </c>
      <c r="Y18" s="51">
        <f>IF(COLUMN()-2&lt;基本参数!$B$2,借款还本付息计划表!Z12,0)</f>
        <v>0</v>
      </c>
      <c r="Z18" s="51">
        <f>IF(COLUMN()-2&lt;基本参数!$B$2,借款还本付息计划表!AA12,0)</f>
        <v>0</v>
      </c>
      <c r="AA18" s="51">
        <f>IF(COLUMN()-2&lt;基本参数!$B$2,借款还本付息计划表!AB12,0)</f>
        <v>0</v>
      </c>
      <c r="AB18" s="51">
        <f>IF(COLUMN()-2&lt;基本参数!$B$2,借款还本付息计划表!AC12,0)</f>
        <v>0</v>
      </c>
    </row>
    <row r="19" ht="15" customHeight="1" spans="1:28">
      <c r="A19" s="29">
        <v>2.4</v>
      </c>
      <c r="B19" s="24" t="s">
        <v>627</v>
      </c>
      <c r="C19" s="51">
        <f t="shared" ref="C19:AB19" si="4">C14+C17+C18</f>
        <v>0</v>
      </c>
      <c r="D19" s="51" t="e">
        <f t="shared" si="4"/>
        <v>#VALUE!</v>
      </c>
      <c r="E19" s="51" t="e">
        <f t="shared" si="4"/>
        <v>#VALUE!</v>
      </c>
      <c r="F19" s="51" t="e">
        <f t="shared" si="4"/>
        <v>#VALUE!</v>
      </c>
      <c r="G19" s="51" t="e">
        <f t="shared" si="4"/>
        <v>#VALUE!</v>
      </c>
      <c r="H19" s="51" t="e">
        <f t="shared" si="4"/>
        <v>#VALUE!</v>
      </c>
      <c r="I19" s="51" t="e">
        <f t="shared" si="4"/>
        <v>#VALUE!</v>
      </c>
      <c r="J19" s="51" t="e">
        <f t="shared" si="4"/>
        <v>#VALUE!</v>
      </c>
      <c r="K19" s="51" t="e">
        <f t="shared" si="4"/>
        <v>#VALUE!</v>
      </c>
      <c r="L19" s="51" t="e">
        <f t="shared" si="4"/>
        <v>#VALUE!</v>
      </c>
      <c r="M19" s="51" t="e">
        <f t="shared" si="4"/>
        <v>#VALUE!</v>
      </c>
      <c r="N19" s="51" t="e">
        <f t="shared" si="4"/>
        <v>#VALUE!</v>
      </c>
      <c r="O19" s="51" t="e">
        <f t="shared" si="4"/>
        <v>#VALUE!</v>
      </c>
      <c r="P19" s="51" t="e">
        <f t="shared" si="4"/>
        <v>#VALUE!</v>
      </c>
      <c r="Q19" s="51" t="e">
        <f t="shared" si="4"/>
        <v>#VALUE!</v>
      </c>
      <c r="R19" s="51" t="e">
        <f t="shared" si="4"/>
        <v>#VALUE!</v>
      </c>
      <c r="S19" s="51" t="e">
        <f t="shared" si="4"/>
        <v>#VALUE!</v>
      </c>
      <c r="T19" s="51" t="e">
        <f t="shared" si="4"/>
        <v>#VALUE!</v>
      </c>
      <c r="U19" s="51" t="e">
        <f t="shared" si="4"/>
        <v>#VALUE!</v>
      </c>
      <c r="V19" s="51" t="e">
        <f t="shared" si="4"/>
        <v>#VALUE!</v>
      </c>
      <c r="W19" s="51" t="e">
        <f t="shared" si="4"/>
        <v>#VALUE!</v>
      </c>
      <c r="X19" s="51" t="e">
        <f t="shared" si="4"/>
        <v>#VALUE!</v>
      </c>
      <c r="Y19" s="51" t="e">
        <f t="shared" si="4"/>
        <v>#VALUE!</v>
      </c>
      <c r="Z19" s="51" t="e">
        <f t="shared" si="4"/>
        <v>#VALUE!</v>
      </c>
      <c r="AA19" s="51" t="e">
        <f t="shared" si="4"/>
        <v>#VALUE!</v>
      </c>
      <c r="AB19" s="51" t="e">
        <f t="shared" si="4"/>
        <v>#VALUE!</v>
      </c>
    </row>
    <row r="20" ht="15" customHeight="1" spans="1:28">
      <c r="A20" s="29">
        <v>2.5</v>
      </c>
      <c r="B20" s="24" t="s">
        <v>628</v>
      </c>
      <c r="C20" s="51">
        <f t="shared" ref="C20:AB20" si="5">C21+C22+C23+C24</f>
        <v>0</v>
      </c>
      <c r="D20" s="51" t="e">
        <f t="shared" si="5"/>
        <v>#VALUE!</v>
      </c>
      <c r="E20" s="51" t="e">
        <f t="shared" si="5"/>
        <v>#VALUE!</v>
      </c>
      <c r="F20" s="51" t="e">
        <f t="shared" si="5"/>
        <v>#VALUE!</v>
      </c>
      <c r="G20" s="51" t="e">
        <f t="shared" si="5"/>
        <v>#VALUE!</v>
      </c>
      <c r="H20" s="51" t="e">
        <f t="shared" si="5"/>
        <v>#VALUE!</v>
      </c>
      <c r="I20" s="51" t="e">
        <f t="shared" si="5"/>
        <v>#VALUE!</v>
      </c>
      <c r="J20" s="51" t="e">
        <f t="shared" si="5"/>
        <v>#VALUE!</v>
      </c>
      <c r="K20" s="51" t="e">
        <f t="shared" si="5"/>
        <v>#VALUE!</v>
      </c>
      <c r="L20" s="51" t="e">
        <f t="shared" si="5"/>
        <v>#VALUE!</v>
      </c>
      <c r="M20" s="51" t="e">
        <f t="shared" si="5"/>
        <v>#VALUE!</v>
      </c>
      <c r="N20" s="51" t="e">
        <f t="shared" si="5"/>
        <v>#VALUE!</v>
      </c>
      <c r="O20" s="51" t="e">
        <f t="shared" si="5"/>
        <v>#VALUE!</v>
      </c>
      <c r="P20" s="51" t="e">
        <f t="shared" si="5"/>
        <v>#VALUE!</v>
      </c>
      <c r="Q20" s="51" t="e">
        <f t="shared" si="5"/>
        <v>#VALUE!</v>
      </c>
      <c r="R20" s="51" t="e">
        <f t="shared" si="5"/>
        <v>#VALUE!</v>
      </c>
      <c r="S20" s="51" t="e">
        <f t="shared" si="5"/>
        <v>#VALUE!</v>
      </c>
      <c r="T20" s="51" t="e">
        <f t="shared" si="5"/>
        <v>#VALUE!</v>
      </c>
      <c r="U20" s="51" t="e">
        <f t="shared" si="5"/>
        <v>#VALUE!</v>
      </c>
      <c r="V20" s="51" t="e">
        <f t="shared" si="5"/>
        <v>#VALUE!</v>
      </c>
      <c r="W20" s="51" t="e">
        <f t="shared" si="5"/>
        <v>#VALUE!</v>
      </c>
      <c r="X20" s="51" t="e">
        <f t="shared" si="5"/>
        <v>#VALUE!</v>
      </c>
      <c r="Y20" s="51" t="e">
        <f t="shared" si="5"/>
        <v>#VALUE!</v>
      </c>
      <c r="Z20" s="51" t="e">
        <f t="shared" si="5"/>
        <v>#VALUE!</v>
      </c>
      <c r="AA20" s="51" t="e">
        <f t="shared" si="5"/>
        <v>#VALUE!</v>
      </c>
      <c r="AB20" s="51" t="e">
        <f t="shared" si="5"/>
        <v>#VALUE!</v>
      </c>
    </row>
    <row r="21" ht="15" customHeight="1" spans="1:28">
      <c r="A21" s="29" t="s">
        <v>629</v>
      </c>
      <c r="B21" s="24" t="s">
        <v>630</v>
      </c>
      <c r="C21" s="51">
        <f>财务计划现金流量表!D25</f>
        <v>0</v>
      </c>
      <c r="D21" s="51">
        <f>IF(COLUMN()-2&lt;=基本参数!$B$2,C21+财务计划现金流量表!E25,0)</f>
        <v>0</v>
      </c>
      <c r="E21" s="51">
        <f>IF(COLUMN()-2&lt;=基本参数!$B$2,D21+财务计划现金流量表!F25,0)</f>
        <v>0</v>
      </c>
      <c r="F21" s="51">
        <f>IF(COLUMN()-2&lt;=基本参数!$B$2,E21+财务计划现金流量表!G25,0)</f>
        <v>0</v>
      </c>
      <c r="G21" s="51">
        <f>IF(COLUMN()-2&lt;=基本参数!$B$2,F21+财务计划现金流量表!H25,0)</f>
        <v>0</v>
      </c>
      <c r="H21" s="51">
        <f>IF(COLUMN()-2&lt;=基本参数!$B$2,G21+财务计划现金流量表!I25,0)</f>
        <v>0</v>
      </c>
      <c r="I21" s="51">
        <f>IF(COLUMN()-2&lt;=基本参数!$B$2,H21+财务计划现金流量表!J25,0)</f>
        <v>0</v>
      </c>
      <c r="J21" s="51">
        <f>IF(COLUMN()-2&lt;=基本参数!$B$2,I21+财务计划现金流量表!K25,0)</f>
        <v>0</v>
      </c>
      <c r="K21" s="51">
        <f>IF(COLUMN()-2&lt;=基本参数!$B$2,J21+财务计划现金流量表!L25,0)</f>
        <v>0</v>
      </c>
      <c r="L21" s="51">
        <f>IF(COLUMN()-2&lt;=基本参数!$B$2,K21+财务计划现金流量表!M25,0)</f>
        <v>0</v>
      </c>
      <c r="M21" s="51">
        <f>IF(COLUMN()-2&lt;=基本参数!$B$2,L21+财务计划现金流量表!N25,0)</f>
        <v>0</v>
      </c>
      <c r="N21" s="51">
        <f>IF(COLUMN()-2&lt;=基本参数!$B$2,M21+财务计划现金流量表!O25,0)</f>
        <v>0</v>
      </c>
      <c r="O21" s="51">
        <f>IF(COLUMN()-2&lt;=基本参数!$B$2,N21+财务计划现金流量表!P25,0)</f>
        <v>0</v>
      </c>
      <c r="P21" s="51">
        <f>IF(COLUMN()-2&lt;=基本参数!$B$2,O21+财务计划现金流量表!Q25,0)</f>
        <v>0</v>
      </c>
      <c r="Q21" s="51">
        <f>IF(COLUMN()-2&lt;=基本参数!$B$2,P21+财务计划现金流量表!R25,0)</f>
        <v>0</v>
      </c>
      <c r="R21" s="51">
        <f>IF(COLUMN()-2&lt;=基本参数!$B$2,Q21+财务计划现金流量表!S25,0)</f>
        <v>0</v>
      </c>
      <c r="S21" s="51">
        <f>IF(COLUMN()-2&lt;=基本参数!$B$2,R21+财务计划现金流量表!T25,0)</f>
        <v>0</v>
      </c>
      <c r="T21" s="51">
        <f>IF(COLUMN()-2&lt;=基本参数!$B$2,S21+财务计划现金流量表!U25,0)</f>
        <v>0</v>
      </c>
      <c r="U21" s="51">
        <f>IF(COLUMN()-2&lt;=基本参数!$B$2,T21+财务计划现金流量表!V25,0)</f>
        <v>0</v>
      </c>
      <c r="V21" s="51">
        <f>IF(COLUMN()-2&lt;=基本参数!$B$2,U21+财务计划现金流量表!W25,0)</f>
        <v>0</v>
      </c>
      <c r="W21" s="51">
        <f>IF(COLUMN()-2&lt;=基本参数!$B$2,V21+财务计划现金流量表!X25,0)</f>
        <v>0</v>
      </c>
      <c r="X21" s="51">
        <f>IF(COLUMN()-2&lt;=基本参数!$B$2,W21+财务计划现金流量表!Y25,0)</f>
        <v>0</v>
      </c>
      <c r="Y21" s="51">
        <f>IF(COLUMN()-2&lt;=基本参数!$B$2,X21+财务计划现金流量表!Z25,0)</f>
        <v>0</v>
      </c>
      <c r="Z21" s="51">
        <f>IF(COLUMN()-2&lt;=基本参数!$B$2,Y21+财务计划现金流量表!AA25,0)</f>
        <v>0</v>
      </c>
      <c r="AA21" s="51">
        <f>IF(COLUMN()-2&lt;=基本参数!$B$2,Z21+财务计划现金流量表!AB25,0)</f>
        <v>0</v>
      </c>
      <c r="AB21" s="51">
        <f>IF(COLUMN()-2&lt;=基本参数!$B$2,AA21+财务计划现金流量表!AC25,0)</f>
        <v>0</v>
      </c>
    </row>
    <row r="22" ht="15" customHeight="1" spans="1:28">
      <c r="A22" s="29" t="s">
        <v>631</v>
      </c>
      <c r="B22" s="24" t="s">
        <v>632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</row>
    <row r="23" ht="15" customHeight="1" spans="1:28">
      <c r="A23" s="29" t="s">
        <v>633</v>
      </c>
      <c r="B23" s="24" t="s">
        <v>634</v>
      </c>
      <c r="C23" s="51">
        <f>利润与利润分配表!D31</f>
        <v>0</v>
      </c>
      <c r="D23" s="51" t="e">
        <f>利润与利润分配表!E31</f>
        <v>#VALUE!</v>
      </c>
      <c r="E23" s="51" t="e">
        <f>利润与利润分配表!F31</f>
        <v>#VALUE!</v>
      </c>
      <c r="F23" s="51" t="e">
        <f>利润与利润分配表!G31</f>
        <v>#VALUE!</v>
      </c>
      <c r="G23" s="51" t="e">
        <f>利润与利润分配表!H31</f>
        <v>#VALUE!</v>
      </c>
      <c r="H23" s="51" t="e">
        <f>利润与利润分配表!I31</f>
        <v>#VALUE!</v>
      </c>
      <c r="I23" s="51" t="e">
        <f>利润与利润分配表!J31</f>
        <v>#VALUE!</v>
      </c>
      <c r="J23" s="51" t="e">
        <f>利润与利润分配表!K31</f>
        <v>#VALUE!</v>
      </c>
      <c r="K23" s="51" t="e">
        <f>利润与利润分配表!L31</f>
        <v>#VALUE!</v>
      </c>
      <c r="L23" s="51" t="e">
        <f>利润与利润分配表!M31</f>
        <v>#VALUE!</v>
      </c>
      <c r="M23" s="51" t="e">
        <f>利润与利润分配表!N31</f>
        <v>#VALUE!</v>
      </c>
      <c r="N23" s="51" t="e">
        <f>利润与利润分配表!O31</f>
        <v>#VALUE!</v>
      </c>
      <c r="O23" s="51" t="e">
        <f>利润与利润分配表!P31</f>
        <v>#VALUE!</v>
      </c>
      <c r="P23" s="51" t="e">
        <f>利润与利润分配表!Q31</f>
        <v>#VALUE!</v>
      </c>
      <c r="Q23" s="51" t="e">
        <f>利润与利润分配表!R31</f>
        <v>#VALUE!</v>
      </c>
      <c r="R23" s="51" t="e">
        <f>利润与利润分配表!S31</f>
        <v>#VALUE!</v>
      </c>
      <c r="S23" s="51" t="e">
        <f>利润与利润分配表!T31</f>
        <v>#VALUE!</v>
      </c>
      <c r="T23" s="51" t="e">
        <f>利润与利润分配表!U31</f>
        <v>#VALUE!</v>
      </c>
      <c r="U23" s="51" t="e">
        <f>利润与利润分配表!V31</f>
        <v>#VALUE!</v>
      </c>
      <c r="V23" s="51" t="e">
        <f>利润与利润分配表!W31</f>
        <v>#VALUE!</v>
      </c>
      <c r="W23" s="51" t="e">
        <f>利润与利润分配表!X31</f>
        <v>#VALUE!</v>
      </c>
      <c r="X23" s="51" t="e">
        <f>利润与利润分配表!Y31</f>
        <v>#VALUE!</v>
      </c>
      <c r="Y23" s="51" t="e">
        <f>利润与利润分配表!Z31</f>
        <v>#VALUE!</v>
      </c>
      <c r="Z23" s="51" t="e">
        <f>利润与利润分配表!AA31</f>
        <v>#VALUE!</v>
      </c>
      <c r="AA23" s="51" t="e">
        <f>利润与利润分配表!AB31</f>
        <v>#VALUE!</v>
      </c>
      <c r="AB23" s="51" t="e">
        <f>利润与利润分配表!AC31</f>
        <v>#VALUE!</v>
      </c>
    </row>
    <row r="24" ht="15" customHeight="1" spans="1:28">
      <c r="A24" s="29" t="s">
        <v>635</v>
      </c>
      <c r="B24" s="24" t="s">
        <v>636</v>
      </c>
      <c r="C24" s="51">
        <f>利润与利润分配表!D28</f>
        <v>0</v>
      </c>
      <c r="D24" s="51" t="e">
        <f>利润与利润分配表!E28</f>
        <v>#VALUE!</v>
      </c>
      <c r="E24" s="51" t="e">
        <f>利润与利润分配表!F28</f>
        <v>#VALUE!</v>
      </c>
      <c r="F24" s="51" t="e">
        <f>利润与利润分配表!G28</f>
        <v>#VALUE!</v>
      </c>
      <c r="G24" s="51" t="e">
        <f>利润与利润分配表!H28</f>
        <v>#VALUE!</v>
      </c>
      <c r="H24" s="51" t="e">
        <f>利润与利润分配表!I28</f>
        <v>#VALUE!</v>
      </c>
      <c r="I24" s="51" t="e">
        <f>利润与利润分配表!J28</f>
        <v>#VALUE!</v>
      </c>
      <c r="J24" s="51" t="e">
        <f>利润与利润分配表!K28</f>
        <v>#VALUE!</v>
      </c>
      <c r="K24" s="51" t="e">
        <f>利润与利润分配表!L28</f>
        <v>#VALUE!</v>
      </c>
      <c r="L24" s="51" t="e">
        <f>利润与利润分配表!M28</f>
        <v>#VALUE!</v>
      </c>
      <c r="M24" s="51" t="e">
        <f>利润与利润分配表!N28</f>
        <v>#VALUE!</v>
      </c>
      <c r="N24" s="51" t="e">
        <f>利润与利润分配表!O28</f>
        <v>#VALUE!</v>
      </c>
      <c r="O24" s="51" t="e">
        <f>利润与利润分配表!P28</f>
        <v>#VALUE!</v>
      </c>
      <c r="P24" s="51" t="e">
        <f>利润与利润分配表!Q28</f>
        <v>#VALUE!</v>
      </c>
      <c r="Q24" s="51" t="e">
        <f>利润与利润分配表!R28</f>
        <v>#VALUE!</v>
      </c>
      <c r="R24" s="51" t="e">
        <f>利润与利润分配表!S28</f>
        <v>#VALUE!</v>
      </c>
      <c r="S24" s="51" t="e">
        <f>利润与利润分配表!T28</f>
        <v>#VALUE!</v>
      </c>
      <c r="T24" s="51" t="e">
        <f>利润与利润分配表!U28</f>
        <v>#VALUE!</v>
      </c>
      <c r="U24" s="51" t="e">
        <f>利润与利润分配表!V28</f>
        <v>#VALUE!</v>
      </c>
      <c r="V24" s="51" t="e">
        <f>利润与利润分配表!W28</f>
        <v>#VALUE!</v>
      </c>
      <c r="W24" s="51" t="e">
        <f>利润与利润分配表!X28</f>
        <v>#VALUE!</v>
      </c>
      <c r="X24" s="51" t="e">
        <f>利润与利润分配表!Y28</f>
        <v>#VALUE!</v>
      </c>
      <c r="Y24" s="51" t="e">
        <f>利润与利润分配表!Z28</f>
        <v>#VALUE!</v>
      </c>
      <c r="Z24" s="51" t="e">
        <f>利润与利润分配表!AA28</f>
        <v>#VALUE!</v>
      </c>
      <c r="AA24" s="51" t="e">
        <f>利润与利润分配表!AB28</f>
        <v>#VALUE!</v>
      </c>
      <c r="AB24" s="51" t="e">
        <f>利润与利润分配表!AC28</f>
        <v>#VALUE!</v>
      </c>
    </row>
    <row r="25" ht="15" customHeight="1" spans="1:28">
      <c r="A25" s="29"/>
      <c r="B25" s="24" t="s">
        <v>637</v>
      </c>
      <c r="C25" s="51">
        <f ca="1" t="shared" ref="C25:AB25" si="6">C5-C13</f>
        <v>0</v>
      </c>
      <c r="D25" s="51" t="e">
        <f ca="1" t="shared" si="6"/>
        <v>#VALUE!</v>
      </c>
      <c r="E25" s="51" t="e">
        <f ca="1" t="shared" si="6"/>
        <v>#VALUE!</v>
      </c>
      <c r="F25" s="51" t="e">
        <f ca="1" t="shared" si="6"/>
        <v>#VALUE!</v>
      </c>
      <c r="G25" s="51" t="e">
        <f ca="1" t="shared" si="6"/>
        <v>#VALUE!</v>
      </c>
      <c r="H25" s="51" t="e">
        <f ca="1" t="shared" si="6"/>
        <v>#VALUE!</v>
      </c>
      <c r="I25" s="51" t="e">
        <f ca="1" t="shared" si="6"/>
        <v>#VALUE!</v>
      </c>
      <c r="J25" s="51" t="e">
        <f ca="1" t="shared" si="6"/>
        <v>#VALUE!</v>
      </c>
      <c r="K25" s="51" t="e">
        <f ca="1" t="shared" si="6"/>
        <v>#VALUE!</v>
      </c>
      <c r="L25" s="51" t="e">
        <f ca="1" t="shared" si="6"/>
        <v>#VALUE!</v>
      </c>
      <c r="M25" s="51" t="e">
        <f ca="1" t="shared" si="6"/>
        <v>#VALUE!</v>
      </c>
      <c r="N25" s="51" t="e">
        <f ca="1" t="shared" si="6"/>
        <v>#VALUE!</v>
      </c>
      <c r="O25" s="51" t="e">
        <f ca="1" t="shared" si="6"/>
        <v>#VALUE!</v>
      </c>
      <c r="P25" s="51" t="e">
        <f ca="1" t="shared" si="6"/>
        <v>#VALUE!</v>
      </c>
      <c r="Q25" s="51" t="e">
        <f ca="1" t="shared" si="6"/>
        <v>#VALUE!</v>
      </c>
      <c r="R25" s="51" t="e">
        <f ca="1" t="shared" si="6"/>
        <v>#VALUE!</v>
      </c>
      <c r="S25" s="51" t="e">
        <f ca="1" t="shared" si="6"/>
        <v>#VALUE!</v>
      </c>
      <c r="T25" s="51" t="e">
        <f ca="1" t="shared" si="6"/>
        <v>#VALUE!</v>
      </c>
      <c r="U25" s="51" t="e">
        <f ca="1" t="shared" si="6"/>
        <v>#VALUE!</v>
      </c>
      <c r="V25" s="51" t="e">
        <f ca="1" t="shared" si="6"/>
        <v>#VALUE!</v>
      </c>
      <c r="W25" s="51" t="e">
        <f ca="1" t="shared" si="6"/>
        <v>#VALUE!</v>
      </c>
      <c r="X25" s="51" t="e">
        <f ca="1" t="shared" si="6"/>
        <v>#VALUE!</v>
      </c>
      <c r="Y25" s="51" t="e">
        <f ca="1" t="shared" si="6"/>
        <v>#VALUE!</v>
      </c>
      <c r="Z25" s="51" t="e">
        <f ca="1" t="shared" si="6"/>
        <v>#VALUE!</v>
      </c>
      <c r="AA25" s="51" t="e">
        <f ca="1" t="shared" si="6"/>
        <v>#VALUE!</v>
      </c>
      <c r="AB25" s="51" t="e">
        <f ca="1" t="shared" si="6"/>
        <v>#VALUE!</v>
      </c>
    </row>
    <row r="26" ht="15" customHeight="1" spans="1:28">
      <c r="A26" s="29" t="s">
        <v>638</v>
      </c>
      <c r="B26" s="29"/>
      <c r="C26" s="63" t="e">
        <f ca="1">IF(COLUMN()-1&lt;=基本参数!$B$3,0,IF(COLUMN()-1&lt;=基本参数!$B$2,C19/C5*100,0))</f>
        <v>#DIV/0!</v>
      </c>
      <c r="D26" s="51" t="e">
        <f ca="1">IF(COLUMN()-1&lt;=基本参数!$B$3,0,IF(COLUMN()-1&lt;=基本参数!$B$2,D19/D5*100,0))</f>
        <v>#VALUE!</v>
      </c>
      <c r="E26" s="51" t="e">
        <f ca="1">IF(COLUMN()-1&lt;=基本参数!$B$3,0,IF(COLUMN()-1&lt;=基本参数!$B$2,E19/E5*100,0))</f>
        <v>#VALUE!</v>
      </c>
      <c r="F26" s="51" t="e">
        <f ca="1">IF(COLUMN()-1&lt;=基本参数!$B$3,0,IF(COLUMN()-1&lt;=基本参数!$B$2,F19/F5*100,0))</f>
        <v>#VALUE!</v>
      </c>
      <c r="G26" s="51" t="e">
        <f ca="1">IF(COLUMN()-1&lt;=基本参数!$B$3,0,IF(COLUMN()-1&lt;=基本参数!$B$2,G19/G5*100,0))</f>
        <v>#VALUE!</v>
      </c>
      <c r="H26" s="51" t="e">
        <f ca="1">IF(COLUMN()-1&lt;=基本参数!$B$3,0,IF(COLUMN()-1&lt;=基本参数!$B$2,H19/H5*100,0))</f>
        <v>#VALUE!</v>
      </c>
      <c r="I26" s="51" t="e">
        <f ca="1">IF(COLUMN()-1&lt;=基本参数!$B$3,0,IF(COLUMN()-1&lt;=基本参数!$B$2,I19/I5*100,0))</f>
        <v>#VALUE!</v>
      </c>
      <c r="J26" s="51" t="e">
        <f ca="1">IF(COLUMN()-1&lt;=基本参数!$B$3,0,IF(COLUMN()-1&lt;=基本参数!$B$2,J19/J5*100,0))</f>
        <v>#VALUE!</v>
      </c>
      <c r="K26" s="51" t="e">
        <f ca="1">IF(COLUMN()-1&lt;=基本参数!$B$3,0,IF(COLUMN()-1&lt;=基本参数!$B$2,K19/K5*100,0))</f>
        <v>#VALUE!</v>
      </c>
      <c r="L26" s="51" t="e">
        <f ca="1">IF(COLUMN()-1&lt;=基本参数!$B$3,0,IF(COLUMN()-1&lt;=基本参数!$B$2,L19/L5*100,0))</f>
        <v>#VALUE!</v>
      </c>
      <c r="M26" s="51" t="e">
        <f ca="1">IF(COLUMN()-1&lt;=基本参数!$B$3,0,IF(COLUMN()-1&lt;=基本参数!$B$2,M19/M5*100,0))</f>
        <v>#VALUE!</v>
      </c>
      <c r="N26" s="51" t="e">
        <f ca="1">IF(COLUMN()-1&lt;=基本参数!$B$3,0,IF(COLUMN()-1&lt;=基本参数!$B$2,N19/N5*100,0))</f>
        <v>#VALUE!</v>
      </c>
      <c r="O26" s="51" t="e">
        <f ca="1">IF(COLUMN()-1&lt;=基本参数!$B$3,0,IF(COLUMN()-1&lt;=基本参数!$B$2,O19/O5*100,0))</f>
        <v>#VALUE!</v>
      </c>
      <c r="P26" s="51" t="e">
        <f ca="1">IF(COLUMN()-1&lt;=基本参数!$B$3,0,IF(COLUMN()-1&lt;=基本参数!$B$2,P19/P5*100,0))</f>
        <v>#VALUE!</v>
      </c>
      <c r="Q26" s="51" t="e">
        <f ca="1">IF(COLUMN()-1&lt;=基本参数!$B$3,0,IF(COLUMN()-1&lt;=基本参数!$B$2,Q19/Q5*100,0))</f>
        <v>#VALUE!</v>
      </c>
      <c r="R26" s="51" t="e">
        <f ca="1">IF(COLUMN()-1&lt;=基本参数!$B$3,0,IF(COLUMN()-1&lt;=基本参数!$B$2,R19/R5*100,0))</f>
        <v>#VALUE!</v>
      </c>
      <c r="S26" s="51" t="e">
        <f ca="1">IF(COLUMN()-1&lt;=基本参数!$B$3,0,IF(COLUMN()-1&lt;=基本参数!$B$2,S19/S5*100,0))</f>
        <v>#VALUE!</v>
      </c>
      <c r="T26" s="51" t="e">
        <f ca="1">IF(COLUMN()-1&lt;=基本参数!$B$3,0,IF(COLUMN()-1&lt;=基本参数!$B$2,T19/T5*100,0))</f>
        <v>#VALUE!</v>
      </c>
      <c r="U26" s="51" t="e">
        <f ca="1">IF(COLUMN()-1&lt;=基本参数!$B$3,0,IF(COLUMN()-1&lt;=基本参数!$B$2,U19/U5*100,0))</f>
        <v>#VALUE!</v>
      </c>
      <c r="V26" s="51" t="e">
        <f ca="1">IF(COLUMN()-1&lt;=基本参数!$B$3,0,IF(COLUMN()-1&lt;=基本参数!$B$2,V19/V5*100,0))</f>
        <v>#VALUE!</v>
      </c>
      <c r="W26" s="51" t="e">
        <f ca="1">IF(COLUMN()-1&lt;=基本参数!$B$3,0,IF(COLUMN()-1&lt;=基本参数!$B$2,W19/W5*100,0))</f>
        <v>#VALUE!</v>
      </c>
      <c r="X26" s="51" t="e">
        <f ca="1">IF(COLUMN()-1&lt;=基本参数!$B$3,0,IF(COLUMN()-1&lt;=基本参数!$B$2,X19/X5*100,0))</f>
        <v>#VALUE!</v>
      </c>
      <c r="Y26" s="51" t="e">
        <f ca="1">IF(COLUMN()-1&lt;=基本参数!$B$3,0,IF(COLUMN()-1&lt;=基本参数!$B$2,Y19/Y5*100,0))</f>
        <v>#VALUE!</v>
      </c>
      <c r="Z26" s="51" t="e">
        <f ca="1">IF(COLUMN()-1&lt;=基本参数!$B$3,0,IF(COLUMN()-1&lt;=基本参数!$B$2,Z19/Z5*100,0))</f>
        <v>#VALUE!</v>
      </c>
      <c r="AA26" s="51" t="e">
        <f ca="1">IF(COLUMN()-1&lt;=基本参数!$B$3,0,IF(COLUMN()-1&lt;=基本参数!$B$2,AA19/AA5*100,0))</f>
        <v>#VALUE!</v>
      </c>
      <c r="AB26" s="51">
        <f ca="1">IF(COLUMN()-1&lt;=基本参数!$B$3,0,IF(COLUMN()-1&lt;=基本参数!$B$2,AB19/AB5*100,0))</f>
        <v>0</v>
      </c>
    </row>
    <row r="27" ht="17.25" hidden="1" customHeight="1" spans="1:28">
      <c r="A27" s="69" t="s">
        <v>639</v>
      </c>
      <c r="B27" s="24" t="s">
        <v>640</v>
      </c>
      <c r="C27" s="70">
        <f>利润与利润分配表!D33-利润与利润分配表!D35</f>
        <v>0</v>
      </c>
      <c r="D27" s="29" t="e">
        <f>利润与利润分配表!E33-利润与利润分配表!E35</f>
        <v>#VALUE!</v>
      </c>
      <c r="E27" s="29" t="e">
        <f>利润与利润分配表!F33-利润与利润分配表!F35</f>
        <v>#VALUE!</v>
      </c>
      <c r="F27" s="29" t="e">
        <f>利润与利润分配表!G33-利润与利润分配表!G35</f>
        <v>#VALUE!</v>
      </c>
      <c r="G27" s="29" t="e">
        <f>利润与利润分配表!H33-利润与利润分配表!H35</f>
        <v>#VALUE!</v>
      </c>
      <c r="H27" s="29" t="e">
        <f>利润与利润分配表!I33-利润与利润分配表!I35</f>
        <v>#VALUE!</v>
      </c>
      <c r="I27" s="29" t="e">
        <f>利润与利润分配表!J33-利润与利润分配表!J35</f>
        <v>#VALUE!</v>
      </c>
      <c r="J27" s="29" t="e">
        <f>利润与利润分配表!K33-利润与利润分配表!K35</f>
        <v>#VALUE!</v>
      </c>
      <c r="K27" s="29" t="e">
        <f>利润与利润分配表!L33-利润与利润分配表!L35</f>
        <v>#VALUE!</v>
      </c>
      <c r="L27" s="29" t="e">
        <f>利润与利润分配表!M33-利润与利润分配表!M35</f>
        <v>#VALUE!</v>
      </c>
      <c r="M27" s="29" t="e">
        <f>利润与利润分配表!N33-利润与利润分配表!N35</f>
        <v>#VALUE!</v>
      </c>
      <c r="N27" s="29" t="e">
        <f>利润与利润分配表!O33-利润与利润分配表!O35</f>
        <v>#VALUE!</v>
      </c>
      <c r="O27" s="29" t="e">
        <f>利润与利润分配表!P33-利润与利润分配表!P35</f>
        <v>#VALUE!</v>
      </c>
      <c r="P27" s="29" t="e">
        <f>利润与利润分配表!Q33-利润与利润分配表!Q35</f>
        <v>#VALUE!</v>
      </c>
      <c r="Q27" s="29" t="e">
        <f>利润与利润分配表!R33-利润与利润分配表!R35</f>
        <v>#VALUE!</v>
      </c>
      <c r="R27" s="29" t="e">
        <f>利润与利润分配表!S33-利润与利润分配表!S35</f>
        <v>#VALUE!</v>
      </c>
      <c r="S27" s="29" t="e">
        <f>利润与利润分配表!T33-利润与利润分配表!T35</f>
        <v>#VALUE!</v>
      </c>
      <c r="T27" s="29" t="e">
        <f>利润与利润分配表!U33-利润与利润分配表!U35</f>
        <v>#VALUE!</v>
      </c>
      <c r="U27" s="29" t="e">
        <f>利润与利润分配表!V33-利润与利润分配表!V35</f>
        <v>#VALUE!</v>
      </c>
      <c r="V27" s="29" t="e">
        <f>利润与利润分配表!W33-利润与利润分配表!W35</f>
        <v>#VALUE!</v>
      </c>
      <c r="W27" s="29" t="e">
        <f>利润与利润分配表!X33-利润与利润分配表!X35</f>
        <v>#VALUE!</v>
      </c>
      <c r="X27" s="29" t="e">
        <f>利润与利润分配表!Y33-利润与利润分配表!Y35</f>
        <v>#VALUE!</v>
      </c>
      <c r="Y27" s="29" t="e">
        <f>利润与利润分配表!Z33-利润与利润分配表!Z35</f>
        <v>#VALUE!</v>
      </c>
      <c r="Z27" s="29" t="e">
        <f>利润与利润分配表!AA33-利润与利润分配表!AA35</f>
        <v>#VALUE!</v>
      </c>
      <c r="AA27" s="29" t="e">
        <f>利润与利润分配表!AB33-利润与利润分配表!AB35</f>
        <v>#VALUE!</v>
      </c>
      <c r="AB27" s="29" t="e">
        <f>利润与利润分配表!AC33-利润与利润分配表!AC35</f>
        <v>#VALUE!</v>
      </c>
    </row>
    <row r="28" ht="17.25" hidden="1" customHeight="1" spans="1:28">
      <c r="A28" s="25"/>
      <c r="B28" s="24" t="s">
        <v>641</v>
      </c>
      <c r="C28" s="70">
        <v>0</v>
      </c>
      <c r="D28" s="29" t="e">
        <f>SUM(利润与利润分配表!$D$32:D32)-SUM($D$27:D27)</f>
        <v>#VALUE!</v>
      </c>
      <c r="E28" s="29" t="e">
        <f>SUM(利润与利润分配表!$D$32:E32)-SUM($D$27:E27)</f>
        <v>#VALUE!</v>
      </c>
      <c r="F28" s="29" t="e">
        <f>SUM(利润与利润分配表!$D$32:F32)-SUM($D$27:F27)</f>
        <v>#VALUE!</v>
      </c>
      <c r="G28" s="29" t="e">
        <f>SUM(利润与利润分配表!$D$32:G32)-SUM($D$27:G27)</f>
        <v>#VALUE!</v>
      </c>
      <c r="H28" s="29" t="e">
        <f>SUM(利润与利润分配表!$D$32:H32)-SUM($D$27:H27)</f>
        <v>#VALUE!</v>
      </c>
      <c r="I28" s="29" t="e">
        <f>SUM(利润与利润分配表!$D$32:I32)-SUM($D$27:I27)</f>
        <v>#VALUE!</v>
      </c>
      <c r="J28" s="29" t="e">
        <f>SUM(利润与利润分配表!$D$32:J32)-SUM($D$27:J27)</f>
        <v>#VALUE!</v>
      </c>
      <c r="K28" s="29" t="e">
        <f>SUM(利润与利润分配表!$D$32:K32)-SUM($D$27:K27)</f>
        <v>#VALUE!</v>
      </c>
      <c r="L28" s="29" t="e">
        <f>SUM(利润与利润分配表!$D$32:L32)-SUM($D$27:L27)</f>
        <v>#VALUE!</v>
      </c>
      <c r="M28" s="29" t="e">
        <f>SUM(利润与利润分配表!$D$32:M32)-SUM($D$27:M27)</f>
        <v>#VALUE!</v>
      </c>
      <c r="N28" s="29" t="e">
        <f>SUM(利润与利润分配表!$D$32:N32)-SUM($D$27:N27)</f>
        <v>#VALUE!</v>
      </c>
      <c r="O28" s="29" t="e">
        <f>SUM(利润与利润分配表!$D$32:O32)-SUM($D$27:O27)</f>
        <v>#VALUE!</v>
      </c>
      <c r="P28" s="29" t="e">
        <f>SUM(利润与利润分配表!$D$32:P32)-SUM($D$27:P27)</f>
        <v>#VALUE!</v>
      </c>
      <c r="Q28" s="29" t="e">
        <f>SUM(利润与利润分配表!$D$32:Q32)-SUM($D$27:Q27)</f>
        <v>#VALUE!</v>
      </c>
      <c r="R28" s="29" t="e">
        <f>SUM(利润与利润分配表!$D$32:R32)-SUM($D$27:R27)</f>
        <v>#VALUE!</v>
      </c>
      <c r="S28" s="29" t="e">
        <f>SUM(利润与利润分配表!$D$32:S32)-SUM($D$27:S27)</f>
        <v>#VALUE!</v>
      </c>
      <c r="T28" s="29" t="e">
        <f>SUM(利润与利润分配表!$D$32:T32)-SUM($D$27:T27)</f>
        <v>#VALUE!</v>
      </c>
      <c r="U28" s="29" t="e">
        <f>SUM(利润与利润分配表!$D$32:U32)-SUM($D$27:U27)</f>
        <v>#VALUE!</v>
      </c>
      <c r="V28" s="29" t="e">
        <f>SUM(利润与利润分配表!$D$32:V32)-SUM($D$27:V27)</f>
        <v>#VALUE!</v>
      </c>
      <c r="W28" s="29" t="e">
        <f>SUM(利润与利润分配表!$D$32:W32)-SUM($D$27:W27)</f>
        <v>#VALUE!</v>
      </c>
      <c r="X28" s="29" t="e">
        <f>SUM(利润与利润分配表!$D$32:X32)-SUM($D$27:X27)</f>
        <v>#VALUE!</v>
      </c>
      <c r="Y28" s="29" t="e">
        <f>SUM(利润与利润分配表!$D$32:Y32)-SUM($D$27:Y27)</f>
        <v>#VALUE!</v>
      </c>
      <c r="Z28" s="29" t="e">
        <f>SUM(利润与利润分配表!$D$32:Z32)-SUM($D$27:Z27)</f>
        <v>#VALUE!</v>
      </c>
      <c r="AA28" s="29" t="e">
        <f>SUM(利润与利润分配表!$D$32:AA32)-SUM($D$27:AA27)</f>
        <v>#VALUE!</v>
      </c>
      <c r="AB28" s="29" t="e">
        <f>SUM(利润与利润分配表!$D$32:AB32)-SUM($D$27:AB27)</f>
        <v>#VALUE!</v>
      </c>
    </row>
    <row r="29" ht="17.25" hidden="1" customHeight="1" spans="1:28">
      <c r="A29" s="29"/>
      <c r="B29" s="24" t="s">
        <v>642</v>
      </c>
      <c r="C29" s="63">
        <f>IF(COLUMN()-2&lt;=基本参数!$B$3,0,利润与利润分配表!D21*2/(C20+C20))</f>
        <v>0</v>
      </c>
      <c r="D29" s="29" t="e">
        <f>IF(COLUMN()-2&lt;=基本参数!$B$3,0,利润与利润分配表!E21*2/(C20+D20))</f>
        <v>#VALUE!</v>
      </c>
      <c r="E29" s="29" t="e">
        <f>IF(COLUMN()-2&lt;=基本参数!$B$3,0,利润与利润分配表!F21*2/(D20+E20))</f>
        <v>#VALUE!</v>
      </c>
      <c r="F29" s="29" t="e">
        <f>IF(COLUMN()-2&lt;=基本参数!$B$3,0,利润与利润分配表!G21*2/(E20+F20))</f>
        <v>#VALUE!</v>
      </c>
      <c r="G29" s="29" t="e">
        <f>IF(COLUMN()-2&lt;=基本参数!$B$3,0,利润与利润分配表!H21*2/(F20+G20))</f>
        <v>#VALUE!</v>
      </c>
      <c r="H29" s="29" t="e">
        <f>IF(COLUMN()-2&lt;=基本参数!$B$3,0,利润与利润分配表!I21*2/(G20+H20))</f>
        <v>#VALUE!</v>
      </c>
      <c r="I29" s="29" t="e">
        <f>IF(COLUMN()-2&lt;=基本参数!$B$3,0,利润与利润分配表!J21*2/(H20+I20))</f>
        <v>#VALUE!</v>
      </c>
      <c r="J29" s="29" t="e">
        <f>IF(COLUMN()-2&lt;=基本参数!$B$3,0,利润与利润分配表!K21*2/(I20+J20))</f>
        <v>#VALUE!</v>
      </c>
      <c r="K29" s="29" t="e">
        <f>IF(COLUMN()-2&lt;=基本参数!$B$3,0,利润与利润分配表!L21*2/(J20+K20))</f>
        <v>#VALUE!</v>
      </c>
      <c r="L29" s="29" t="e">
        <f>IF(COLUMN()-2&lt;=基本参数!$B$3,0,利润与利润分配表!M21*2/(K20+L20))</f>
        <v>#VALUE!</v>
      </c>
      <c r="M29" s="29" t="e">
        <f>IF(COLUMN()-2&lt;=基本参数!$B$3,0,利润与利润分配表!N21*2/(L20+M20))</f>
        <v>#VALUE!</v>
      </c>
      <c r="N29" s="29" t="e">
        <f>IF(COLUMN()-2&lt;=基本参数!$B$3,0,利润与利润分配表!O21*2/(M20+N20))</f>
        <v>#VALUE!</v>
      </c>
      <c r="O29" s="29" t="e">
        <f>IF(COLUMN()-2&lt;=基本参数!$B$3,0,利润与利润分配表!P21*2/(N20+O20))</f>
        <v>#VALUE!</v>
      </c>
      <c r="P29" s="29" t="e">
        <f>IF(COLUMN()-2&lt;=基本参数!$B$3,0,利润与利润分配表!Q21*2/(O20+P20))</f>
        <v>#VALUE!</v>
      </c>
      <c r="Q29" s="29" t="e">
        <f>IF(COLUMN()-2&lt;=基本参数!$B$3,0,利润与利润分配表!R21*2/(P20+Q20))</f>
        <v>#VALUE!</v>
      </c>
      <c r="R29" s="29" t="e">
        <f>IF(COLUMN()-2&lt;=基本参数!$B$3,0,利润与利润分配表!S21*2/(Q20+R20))</f>
        <v>#VALUE!</v>
      </c>
      <c r="S29" s="29" t="e">
        <f>IF(COLUMN()-2&lt;=基本参数!$B$3,0,利润与利润分配表!T21*2/(R20+S20))</f>
        <v>#VALUE!</v>
      </c>
      <c r="T29" s="29" t="e">
        <f>IF(COLUMN()-2&lt;=基本参数!$B$3,0,利润与利润分配表!U21*2/(S20+T20))</f>
        <v>#VALUE!</v>
      </c>
      <c r="U29" s="29" t="e">
        <f>IF(COLUMN()-2&lt;=基本参数!$B$3,0,利润与利润分配表!V21*2/(T20+U20))</f>
        <v>#VALUE!</v>
      </c>
      <c r="V29" s="29" t="e">
        <f>IF(COLUMN()-2&lt;=基本参数!$B$3,0,利润与利润分配表!W21*2/(U20+V20))</f>
        <v>#VALUE!</v>
      </c>
      <c r="W29" s="29" t="e">
        <f>IF(COLUMN()-2&lt;=基本参数!$B$3,0,利润与利润分配表!X21*2/(V20+W20))</f>
        <v>#VALUE!</v>
      </c>
      <c r="X29" s="29" t="e">
        <f>IF(COLUMN()-2&lt;=基本参数!$B$3,0,利润与利润分配表!Y21*2/(W20+X20))</f>
        <v>#VALUE!</v>
      </c>
      <c r="Y29" s="29" t="e">
        <f>IF(COLUMN()-2&lt;=基本参数!$B$3,0,利润与利润分配表!Z21*2/(X20+Y20))</f>
        <v>#VALUE!</v>
      </c>
      <c r="Z29" s="29" t="e">
        <f>IF(COLUMN()-2&lt;=基本参数!$B$3,0,利润与利润分配表!AA21*2/(Y20+Z20))</f>
        <v>#VALUE!</v>
      </c>
      <c r="AA29" s="29" t="e">
        <f>IF(COLUMN()-2&lt;=基本参数!$B$3,0,利润与利润分配表!AB21*2/(Z20+AA20))</f>
        <v>#VALUE!</v>
      </c>
      <c r="AB29" s="29" t="e">
        <f>IF(COLUMN()-2&lt;=基本参数!$B$3,0,利润与利润分配表!AC21*2/(AA20+AB20))</f>
        <v>#VALUE!</v>
      </c>
    </row>
  </sheetData>
  <mergeCells count="8">
    <mergeCell ref="A1:AB1"/>
    <mergeCell ref="A2:AB2"/>
    <mergeCell ref="D3:AB3"/>
    <mergeCell ref="D9:AB9"/>
    <mergeCell ref="A26:B26"/>
    <mergeCell ref="A3:A4"/>
    <mergeCell ref="A27:A28"/>
    <mergeCell ref="B3:B4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13"/>
  <sheetViews>
    <sheetView workbookViewId="0">
      <pane xSplit="3" topLeftCell="D1" activePane="topRight" state="frozen"/>
      <selection/>
      <selection pane="topRight" activeCell="A1" sqref="A1:AC1"/>
    </sheetView>
  </sheetViews>
  <sheetFormatPr defaultColWidth="8.83333333333333" defaultRowHeight="13.5"/>
  <cols>
    <col min="1" max="1" width="8.83333333333333" style="33" customWidth="1"/>
    <col min="2" max="2" width="24.8333333333333" style="14" customWidth="1"/>
    <col min="3" max="3" width="12.8333333333333" style="15" customWidth="1"/>
    <col min="4" max="5" width="12.8333333333333" style="34" customWidth="1"/>
    <col min="6" max="29" width="12.8333333333333" style="15" customWidth="1"/>
  </cols>
  <sheetData>
    <row r="1" ht="24" customHeight="1" spans="1:29">
      <c r="A1" s="16" t="s">
        <v>643</v>
      </c>
      <c r="B1" s="35"/>
      <c r="C1" s="35"/>
      <c r="D1" s="36"/>
      <c r="E1" s="36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 ht="15" customHeight="1" spans="1:29">
      <c r="A2" s="37" t="s">
        <v>464</v>
      </c>
      <c r="B2" s="38"/>
      <c r="C2" s="38"/>
      <c r="D2" s="39"/>
      <c r="E2" s="39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ht="15" customHeight="1" spans="1:29">
      <c r="A3" s="40" t="s">
        <v>1</v>
      </c>
      <c r="B3" s="41" t="s">
        <v>2</v>
      </c>
      <c r="C3" s="41" t="s">
        <v>465</v>
      </c>
      <c r="D3" s="42" t="s">
        <v>481</v>
      </c>
      <c r="E3" s="42" t="s">
        <v>482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ht="15" customHeight="1" spans="1:29">
      <c r="A4" s="44"/>
      <c r="B4" s="45"/>
      <c r="C4" s="17"/>
      <c r="D4" s="46" t="s">
        <v>278</v>
      </c>
      <c r="E4" s="47" t="s">
        <v>279</v>
      </c>
      <c r="F4" s="48" t="s">
        <v>280</v>
      </c>
      <c r="G4" s="48" t="s">
        <v>281</v>
      </c>
      <c r="H4" s="48" t="s">
        <v>282</v>
      </c>
      <c r="I4" s="48" t="s">
        <v>327</v>
      </c>
      <c r="J4" s="48" t="s">
        <v>328</v>
      </c>
      <c r="K4" s="48" t="s">
        <v>329</v>
      </c>
      <c r="L4" s="48" t="s">
        <v>330</v>
      </c>
      <c r="M4" s="48" t="s">
        <v>331</v>
      </c>
      <c r="N4" s="48" t="s">
        <v>332</v>
      </c>
      <c r="O4" s="48" t="s">
        <v>333</v>
      </c>
      <c r="P4" s="48" t="s">
        <v>334</v>
      </c>
      <c r="Q4" s="48" t="s">
        <v>335</v>
      </c>
      <c r="R4" s="48" t="s">
        <v>336</v>
      </c>
      <c r="S4" s="48" t="s">
        <v>337</v>
      </c>
      <c r="T4" s="48" t="s">
        <v>338</v>
      </c>
      <c r="U4" s="48" t="s">
        <v>339</v>
      </c>
      <c r="V4" s="48" t="s">
        <v>340</v>
      </c>
      <c r="W4" s="48" t="s">
        <v>341</v>
      </c>
      <c r="X4" s="48" t="s">
        <v>342</v>
      </c>
      <c r="Y4" s="48" t="s">
        <v>343</v>
      </c>
      <c r="Z4" s="48" t="s">
        <v>344</v>
      </c>
      <c r="AA4" s="48" t="s">
        <v>345</v>
      </c>
      <c r="AB4" s="48" t="s">
        <v>346</v>
      </c>
      <c r="AC4" s="48" t="s">
        <v>347</v>
      </c>
    </row>
    <row r="5" ht="15" customHeight="1" spans="1:29">
      <c r="A5" s="49">
        <v>1</v>
      </c>
      <c r="B5" s="50" t="s">
        <v>644</v>
      </c>
      <c r="C5" s="26" t="e">
        <f>SUM(D5:AC5)</f>
        <v>#VALUE!</v>
      </c>
      <c r="D5" s="51">
        <f>D6+D7*(1-收入和税金!C23/100)</f>
        <v>0</v>
      </c>
      <c r="E5" s="51" t="e">
        <f>E6+E7*(1-收入和税金!D23/100)</f>
        <v>#VALUE!</v>
      </c>
      <c r="F5" s="26" t="e">
        <f>F6+F7*(1-收入和税金!E23/100)</f>
        <v>#VALUE!</v>
      </c>
      <c r="G5" s="26" t="e">
        <f>G6+G7*(1-收入和税金!F23/100)</f>
        <v>#VALUE!</v>
      </c>
      <c r="H5" s="26" t="e">
        <f>H6+H7*(1-收入和税金!G23/100)</f>
        <v>#VALUE!</v>
      </c>
      <c r="I5" s="26" t="e">
        <f>I6+I7*(1-收入和税金!H23/100)</f>
        <v>#VALUE!</v>
      </c>
      <c r="J5" s="26" t="e">
        <f>J6+J7*(1-收入和税金!I23/100)</f>
        <v>#VALUE!</v>
      </c>
      <c r="K5" s="26" t="e">
        <f>K6+K7*(1-收入和税金!J23/100)</f>
        <v>#VALUE!</v>
      </c>
      <c r="L5" s="26" t="e">
        <f>L6+L7*(1-收入和税金!K23/100)</f>
        <v>#VALUE!</v>
      </c>
      <c r="M5" s="26" t="e">
        <f>M6+M7*(1-收入和税金!L23/100)</f>
        <v>#VALUE!</v>
      </c>
      <c r="N5" s="26" t="e">
        <f>N6+N7*(1-收入和税金!M23/100)</f>
        <v>#VALUE!</v>
      </c>
      <c r="O5" s="26" t="e">
        <f>O6+O7*(1-收入和税金!N23/100)</f>
        <v>#VALUE!</v>
      </c>
      <c r="P5" s="26" t="e">
        <f>P6+P7*(1-收入和税金!O23/100)</f>
        <v>#VALUE!</v>
      </c>
      <c r="Q5" s="26" t="e">
        <f>Q6+Q7*(1-收入和税金!P23/100)</f>
        <v>#VALUE!</v>
      </c>
      <c r="R5" s="26" t="e">
        <f>R6+R7*(1-收入和税金!Q23/100)</f>
        <v>#VALUE!</v>
      </c>
      <c r="S5" s="26" t="e">
        <f>S6+S7*(1-收入和税金!R23/100)</f>
        <v>#VALUE!</v>
      </c>
      <c r="T5" s="26" t="e">
        <f>T6+T7*(1-收入和税金!S23/100)</f>
        <v>#VALUE!</v>
      </c>
      <c r="U5" s="26" t="e">
        <f>U6+U7*(1-收入和税金!T23/100)</f>
        <v>#VALUE!</v>
      </c>
      <c r="V5" s="26" t="e">
        <f>V6+V7*(1-收入和税金!U23/100)</f>
        <v>#VALUE!</v>
      </c>
      <c r="W5" s="26" t="e">
        <f>W6+W7*(1-收入和税金!V23/100)</f>
        <v>#VALUE!</v>
      </c>
      <c r="X5" s="26" t="e">
        <f>X6+X7*(1-收入和税金!W23/100)</f>
        <v>#VALUE!</v>
      </c>
      <c r="Y5" s="26" t="e">
        <f>Y6+Y7*(1-收入和税金!X23/100)</f>
        <v>#VALUE!</v>
      </c>
      <c r="Z5" s="26" t="e">
        <f>Z6+Z7*(1-收入和税金!Y23/100)</f>
        <v>#VALUE!</v>
      </c>
      <c r="AA5" s="26" t="e">
        <f>AA6+AA7*(1-收入和税金!Z23/100)</f>
        <v>#VALUE!</v>
      </c>
      <c r="AB5" s="26" t="e">
        <f>AB6+AB7*(1-收入和税金!AA23/100)</f>
        <v>#VALUE!</v>
      </c>
      <c r="AC5" s="26" t="e">
        <f>AC6+AC7*(1-收入和税金!AB23/100)</f>
        <v>#VALUE!</v>
      </c>
    </row>
    <row r="6" ht="15" customHeight="1" spans="1:29">
      <c r="A6" s="29">
        <v>1.1</v>
      </c>
      <c r="B6" s="24" t="s">
        <v>645</v>
      </c>
      <c r="C6" s="26" t="e">
        <f>SUM(D6:AC6)</f>
        <v>#VALUE!</v>
      </c>
      <c r="D6" s="51">
        <f>利润与利润分配表!D21</f>
        <v>0</v>
      </c>
      <c r="E6" s="51" t="e">
        <f>利润与利润分配表!E21</f>
        <v>#VALUE!</v>
      </c>
      <c r="F6" s="26" t="e">
        <f>利润与利润分配表!F21</f>
        <v>#VALUE!</v>
      </c>
      <c r="G6" s="26" t="e">
        <f>利润与利润分配表!G21</f>
        <v>#VALUE!</v>
      </c>
      <c r="H6" s="26" t="e">
        <f>利润与利润分配表!H21</f>
        <v>#VALUE!</v>
      </c>
      <c r="I6" s="26" t="e">
        <f>利润与利润分配表!I21</f>
        <v>#VALUE!</v>
      </c>
      <c r="J6" s="26" t="e">
        <f>利润与利润分配表!J21</f>
        <v>#VALUE!</v>
      </c>
      <c r="K6" s="26" t="e">
        <f>利润与利润分配表!K21</f>
        <v>#VALUE!</v>
      </c>
      <c r="L6" s="26" t="e">
        <f>利润与利润分配表!L21</f>
        <v>#VALUE!</v>
      </c>
      <c r="M6" s="26" t="e">
        <f>利润与利润分配表!M21</f>
        <v>#VALUE!</v>
      </c>
      <c r="N6" s="26" t="e">
        <f>利润与利润分配表!N21</f>
        <v>#VALUE!</v>
      </c>
      <c r="O6" s="26" t="e">
        <f>利润与利润分配表!O21</f>
        <v>#VALUE!</v>
      </c>
      <c r="P6" s="26" t="e">
        <f>利润与利润分配表!P21</f>
        <v>#VALUE!</v>
      </c>
      <c r="Q6" s="26" t="e">
        <f>利润与利润分配表!Q21</f>
        <v>#VALUE!</v>
      </c>
      <c r="R6" s="26" t="e">
        <f>利润与利润分配表!R21</f>
        <v>#VALUE!</v>
      </c>
      <c r="S6" s="26" t="e">
        <f>利润与利润分配表!S21</f>
        <v>#VALUE!</v>
      </c>
      <c r="T6" s="26" t="e">
        <f>利润与利润分配表!T21</f>
        <v>#VALUE!</v>
      </c>
      <c r="U6" s="26" t="e">
        <f>利润与利润分配表!U21</f>
        <v>#VALUE!</v>
      </c>
      <c r="V6" s="26" t="e">
        <f>利润与利润分配表!V21</f>
        <v>#VALUE!</v>
      </c>
      <c r="W6" s="26" t="e">
        <f>利润与利润分配表!W21</f>
        <v>#VALUE!</v>
      </c>
      <c r="X6" s="26" t="e">
        <f>利润与利润分配表!X21</f>
        <v>#VALUE!</v>
      </c>
      <c r="Y6" s="26" t="e">
        <f>利润与利润分配表!Y21</f>
        <v>#VALUE!</v>
      </c>
      <c r="Z6" s="26" t="e">
        <f>利润与利润分配表!Z21</f>
        <v>#VALUE!</v>
      </c>
      <c r="AA6" s="26" t="e">
        <f>利润与利润分配表!AA21</f>
        <v>#VALUE!</v>
      </c>
      <c r="AB6" s="26" t="e">
        <f>利润与利润分配表!AB21</f>
        <v>#VALUE!</v>
      </c>
      <c r="AC6" s="26" t="e">
        <f>利润与利润分配表!AC21</f>
        <v>#VALUE!</v>
      </c>
    </row>
    <row r="7" ht="15" customHeight="1" spans="1:29">
      <c r="A7" s="52">
        <v>1.2</v>
      </c>
      <c r="B7" s="53" t="s">
        <v>484</v>
      </c>
      <c r="C7" s="26" t="e">
        <f>SUM(D7:AC7)</f>
        <v>#VALUE!</v>
      </c>
      <c r="D7" s="51">
        <f>总成本费用表!D12</f>
        <v>0</v>
      </c>
      <c r="E7" s="51">
        <f>总成本费用表!E12</f>
        <v>0</v>
      </c>
      <c r="F7" s="26" t="e">
        <f>总成本费用表!F12</f>
        <v>#VALUE!</v>
      </c>
      <c r="G7" s="26" t="e">
        <f>总成本费用表!G12</f>
        <v>#VALUE!</v>
      </c>
      <c r="H7" s="26" t="e">
        <f>总成本费用表!H12</f>
        <v>#VALUE!</v>
      </c>
      <c r="I7" s="26" t="e">
        <f>总成本费用表!I12</f>
        <v>#VALUE!</v>
      </c>
      <c r="J7" s="26" t="e">
        <f>总成本费用表!J12</f>
        <v>#VALUE!</v>
      </c>
      <c r="K7" s="26" t="e">
        <f>总成本费用表!K12</f>
        <v>#VALUE!</v>
      </c>
      <c r="L7" s="26" t="e">
        <f>总成本费用表!L12</f>
        <v>#VALUE!</v>
      </c>
      <c r="M7" s="26" t="e">
        <f>总成本费用表!M12</f>
        <v>#VALUE!</v>
      </c>
      <c r="N7" s="26" t="e">
        <f>总成本费用表!N12</f>
        <v>#VALUE!</v>
      </c>
      <c r="O7" s="26" t="e">
        <f>总成本费用表!O12</f>
        <v>#VALUE!</v>
      </c>
      <c r="P7" s="26" t="e">
        <f>总成本费用表!P12</f>
        <v>#VALUE!</v>
      </c>
      <c r="Q7" s="26" t="e">
        <f>总成本费用表!Q12</f>
        <v>#VALUE!</v>
      </c>
      <c r="R7" s="26" t="e">
        <f>总成本费用表!R12</f>
        <v>#VALUE!</v>
      </c>
      <c r="S7" s="26" t="e">
        <f>总成本费用表!S12</f>
        <v>#VALUE!</v>
      </c>
      <c r="T7" s="26" t="e">
        <f>总成本费用表!T12</f>
        <v>#VALUE!</v>
      </c>
      <c r="U7" s="26" t="e">
        <f>总成本费用表!U12</f>
        <v>#VALUE!</v>
      </c>
      <c r="V7" s="26" t="e">
        <f>总成本费用表!V12</f>
        <v>#VALUE!</v>
      </c>
      <c r="W7" s="26" t="e">
        <f>总成本费用表!W12</f>
        <v>#VALUE!</v>
      </c>
      <c r="X7" s="26" t="e">
        <f>总成本费用表!X12</f>
        <v>#VALUE!</v>
      </c>
      <c r="Y7" s="26" t="e">
        <f>总成本费用表!Y12</f>
        <v>#VALUE!</v>
      </c>
      <c r="Z7" s="26" t="e">
        <f>总成本费用表!Z12</f>
        <v>#VALUE!</v>
      </c>
      <c r="AA7" s="26" t="e">
        <f>总成本费用表!AA12</f>
        <v>#VALUE!</v>
      </c>
      <c r="AB7" s="26" t="e">
        <f>总成本费用表!AB12</f>
        <v>#VALUE!</v>
      </c>
      <c r="AC7" s="26" t="e">
        <f>总成本费用表!AC12</f>
        <v>#VALUE!</v>
      </c>
    </row>
    <row r="8" ht="15" customHeight="1" spans="1:29">
      <c r="A8" s="49">
        <v>2</v>
      </c>
      <c r="B8" s="53" t="s">
        <v>646</v>
      </c>
      <c r="C8" s="26" t="e">
        <f>SUM(D8:AC8)</f>
        <v>#VALUE!</v>
      </c>
      <c r="D8" s="51">
        <f>IF(COLUMN()-3&lt;=基本参数!$B$2,((D9+C9)/2+(D10+C10)/2-(C11+D11)/2*IF(COLUMN()-3&lt;=基本参数!$B$3,1))*基本参数!$B$25/100,0)</f>
        <v>0</v>
      </c>
      <c r="E8" s="51" t="e">
        <f>IF(COLUMN()-3&lt;=基本参数!$B$2,((E9+D9)/2+(E10+D10)/2-(D11+E11)/2*IF(COLUMN()-3&lt;=基本参数!$B$3,1))*基本参数!$B$25/100,0)</f>
        <v>#VALUE!</v>
      </c>
      <c r="F8" s="26" t="e">
        <f>IF(COLUMN()-3&lt;=基本参数!$B$2,((F9+E9)/2+(F10+E10)/2-(E11+F11)/2*IF(COLUMN()-3&lt;=基本参数!$B$3,1))*基本参数!$B$25/100,0)</f>
        <v>#VALUE!</v>
      </c>
      <c r="G8" s="26" t="e">
        <f>IF(COLUMN()-3&lt;=基本参数!$B$2,((G9+F9)/2+(G10+F10)/2-(F11+G11)/2*IF(COLUMN()-3&lt;=基本参数!$B$3,1))*基本参数!$B$25/100,0)</f>
        <v>#VALUE!</v>
      </c>
      <c r="H8" s="26" t="e">
        <f>IF(COLUMN()-3&lt;=基本参数!$B$2,((H9+G9)/2+(H10+G10)/2-(G11+H11)/2*IF(COLUMN()-3&lt;=基本参数!$B$3,1))*基本参数!$B$25/100,0)</f>
        <v>#VALUE!</v>
      </c>
      <c r="I8" s="26" t="e">
        <f>IF(COLUMN()-3&lt;=基本参数!$B$2,((I9+H9)/2+(I10+H10)/2-(H11+I11)/2*IF(COLUMN()-3&lt;=基本参数!$B$3,1))*基本参数!$B$25/100,0)</f>
        <v>#VALUE!</v>
      </c>
      <c r="J8" s="26" t="e">
        <f>IF(COLUMN()-3&lt;=基本参数!$B$2,((J9+I9)/2+(J10+I10)/2-(I11+J11)/2*IF(COLUMN()-3&lt;=基本参数!$B$3,1))*基本参数!$B$25/100,0)</f>
        <v>#VALUE!</v>
      </c>
      <c r="K8" s="26" t="e">
        <f>IF(COLUMN()-3&lt;=基本参数!$B$2,((K9+J9)/2+(K10+J10)/2-(J11+K11)/2*IF(COLUMN()-3&lt;=基本参数!$B$3,1))*基本参数!$B$25/100,0)</f>
        <v>#VALUE!</v>
      </c>
      <c r="L8" s="26" t="e">
        <f>IF(COLUMN()-3&lt;=基本参数!$B$2,((L9+K9)/2+(L10+K10)/2-(K11+L11)/2*IF(COLUMN()-3&lt;=基本参数!$B$3,1))*基本参数!$B$25/100,0)</f>
        <v>#VALUE!</v>
      </c>
      <c r="M8" s="26" t="e">
        <f>IF(COLUMN()-3&lt;=基本参数!$B$2,((M9+L9)/2+(M10+L10)/2-(L11+M11)/2*IF(COLUMN()-3&lt;=基本参数!$B$3,1))*基本参数!$B$25/100,0)</f>
        <v>#VALUE!</v>
      </c>
      <c r="N8" s="26" t="e">
        <f>IF(COLUMN()-3&lt;=基本参数!$B$2,((N9+M9)/2+(N10+M10)/2-(M11+N11)/2*IF(COLUMN()-3&lt;=基本参数!$B$3,1))*基本参数!$B$25/100,0)</f>
        <v>#VALUE!</v>
      </c>
      <c r="O8" s="26" t="e">
        <f>IF(COLUMN()-3&lt;=基本参数!$B$2,((O9+N9)/2+(O10+N10)/2-(N11+O11)/2*IF(COLUMN()-3&lt;=基本参数!$B$3,1))*基本参数!$B$25/100,0)</f>
        <v>#VALUE!</v>
      </c>
      <c r="P8" s="26" t="e">
        <f>IF(COLUMN()-3&lt;=基本参数!$B$2,((P9+O9)/2+(P10+O10)/2-(O11+P11)/2*IF(COLUMN()-3&lt;=基本参数!$B$3,1))*基本参数!$B$25/100,0)</f>
        <v>#VALUE!</v>
      </c>
      <c r="Q8" s="26" t="e">
        <f>IF(COLUMN()-3&lt;=基本参数!$B$2,((Q9+P9)/2+(Q10+P10)/2-(P11+Q11)/2*IF(COLUMN()-3&lt;=基本参数!$B$3,1))*基本参数!$B$25/100,0)</f>
        <v>#VALUE!</v>
      </c>
      <c r="R8" s="26" t="e">
        <f>IF(COLUMN()-3&lt;=基本参数!$B$2,((R9+Q9)/2+(R10+Q10)/2-(Q11+R11)/2*IF(COLUMN()-3&lt;=基本参数!$B$3,1))*基本参数!$B$25/100,0)</f>
        <v>#VALUE!</v>
      </c>
      <c r="S8" s="26" t="e">
        <f>IF(COLUMN()-3&lt;=基本参数!$B$2,((S9+R9)/2+(S10+R10)/2-(R11+S11)/2*IF(COLUMN()-3&lt;=基本参数!$B$3,1))*基本参数!$B$25/100,0)</f>
        <v>#VALUE!</v>
      </c>
      <c r="T8" s="26" t="e">
        <f>IF(COLUMN()-3&lt;=基本参数!$B$2,((T9+S9)/2+(T10+S10)/2-(S11+T11)/2*IF(COLUMN()-3&lt;=基本参数!$B$3,1))*基本参数!$B$25/100,0)</f>
        <v>#VALUE!</v>
      </c>
      <c r="U8" s="26" t="e">
        <f>IF(COLUMN()-3&lt;=基本参数!$B$2,((U9+T9)/2+(U10+T10)/2-(T11+U11)/2*IF(COLUMN()-3&lt;=基本参数!$B$3,1))*基本参数!$B$25/100,0)</f>
        <v>#VALUE!</v>
      </c>
      <c r="V8" s="26" t="e">
        <f>IF(COLUMN()-3&lt;=基本参数!$B$2,((V9+U9)/2+(V10+U10)/2-(U11+V11)/2*IF(COLUMN()-3&lt;=基本参数!$B$3,1))*基本参数!$B$25/100,0)</f>
        <v>#VALUE!</v>
      </c>
      <c r="W8" s="26" t="e">
        <f>IF(COLUMN()-3&lt;=基本参数!$B$2,((W9+V9)/2+(W10+V10)/2-(V11+W11)/2*IF(COLUMN()-3&lt;=基本参数!$B$3,1))*基本参数!$B$25/100,0)</f>
        <v>#VALUE!</v>
      </c>
      <c r="X8" s="26" t="e">
        <f>IF(COLUMN()-3&lt;=基本参数!$B$2,((X9+W9)/2+(X10+W10)/2-(W11+X11)/2*IF(COLUMN()-3&lt;=基本参数!$B$3,1))*基本参数!$B$25/100,0)</f>
        <v>#VALUE!</v>
      </c>
      <c r="Y8" s="26" t="e">
        <f>IF(COLUMN()-3&lt;=基本参数!$B$2,((Y9+X9)/2+(Y10+X10)/2-(X11+Y11)/2*IF(COLUMN()-3&lt;=基本参数!$B$3,1))*基本参数!$B$25/100,0)</f>
        <v>#VALUE!</v>
      </c>
      <c r="Z8" s="26" t="e">
        <f>IF(COLUMN()-3&lt;=基本参数!$B$2,((Z9+Y9)/2+(Z10+Y10)/2-(Y11+Z11)/2*IF(COLUMN()-3&lt;=基本参数!$B$3,1))*基本参数!$B$25/100,0)</f>
        <v>#VALUE!</v>
      </c>
      <c r="AA8" s="26" t="e">
        <f>IF(COLUMN()-3&lt;=基本参数!$B$2,((AA9+Z9)/2+(AA10+Z10)/2-(Z11+AA11)/2*IF(COLUMN()-3&lt;=基本参数!$B$3,1))*基本参数!$B$25/100,0)</f>
        <v>#VALUE!</v>
      </c>
      <c r="AB8" s="26" t="e">
        <f>IF(COLUMN()-3&lt;=基本参数!$B$2,((AB9+AA9)/2+(AB10+AA10)/2-(AA11+AB11)/2*IF(COLUMN()-3&lt;=基本参数!$B$3,1))*基本参数!$B$25/100,0)</f>
        <v>#VALUE!</v>
      </c>
      <c r="AC8" s="26" t="e">
        <f>IF(COLUMN()-3&lt;=基本参数!$B$2,((AC9+AB9)/2+(AC10+AB10)/2-(AB11+AC11)/2*IF(COLUMN()-3&lt;=基本参数!$B$3,1))*基本参数!$B$25/100,0)</f>
        <v>#VALUE!</v>
      </c>
    </row>
    <row r="9" ht="15" customHeight="1" spans="1:29">
      <c r="A9" s="52">
        <v>2.1</v>
      </c>
      <c r="B9" s="53" t="s">
        <v>628</v>
      </c>
      <c r="C9" s="51"/>
      <c r="D9" s="51">
        <f>资产负债表!C20</f>
        <v>0</v>
      </c>
      <c r="E9" s="51" t="e">
        <f>资产负债表!D20</f>
        <v>#VALUE!</v>
      </c>
      <c r="F9" s="26" t="e">
        <f>资产负债表!E20</f>
        <v>#VALUE!</v>
      </c>
      <c r="G9" s="26" t="e">
        <f>资产负债表!F20</f>
        <v>#VALUE!</v>
      </c>
      <c r="H9" s="26" t="e">
        <f>资产负债表!G20</f>
        <v>#VALUE!</v>
      </c>
      <c r="I9" s="26" t="e">
        <f>资产负债表!H20</f>
        <v>#VALUE!</v>
      </c>
      <c r="J9" s="26" t="e">
        <f>资产负债表!I20</f>
        <v>#VALUE!</v>
      </c>
      <c r="K9" s="26" t="e">
        <f>资产负债表!J20</f>
        <v>#VALUE!</v>
      </c>
      <c r="L9" s="26" t="e">
        <f>资产负债表!K20</f>
        <v>#VALUE!</v>
      </c>
      <c r="M9" s="26" t="e">
        <f>资产负债表!L20</f>
        <v>#VALUE!</v>
      </c>
      <c r="N9" s="26" t="e">
        <f>资产负债表!M20</f>
        <v>#VALUE!</v>
      </c>
      <c r="O9" s="26" t="e">
        <f>资产负债表!N20</f>
        <v>#VALUE!</v>
      </c>
      <c r="P9" s="26" t="e">
        <f>资产负债表!O20</f>
        <v>#VALUE!</v>
      </c>
      <c r="Q9" s="26" t="e">
        <f>资产负债表!P20</f>
        <v>#VALUE!</v>
      </c>
      <c r="R9" s="26" t="e">
        <f>资产负债表!Q20</f>
        <v>#VALUE!</v>
      </c>
      <c r="S9" s="26" t="e">
        <f>资产负债表!R20</f>
        <v>#VALUE!</v>
      </c>
      <c r="T9" s="26" t="e">
        <f>资产负债表!S20</f>
        <v>#VALUE!</v>
      </c>
      <c r="U9" s="26" t="e">
        <f>资产负债表!T20</f>
        <v>#VALUE!</v>
      </c>
      <c r="V9" s="26" t="e">
        <f>资产负债表!U20</f>
        <v>#VALUE!</v>
      </c>
      <c r="W9" s="26" t="e">
        <f>资产负债表!V20</f>
        <v>#VALUE!</v>
      </c>
      <c r="X9" s="26" t="e">
        <f>资产负债表!W20</f>
        <v>#VALUE!</v>
      </c>
      <c r="Y9" s="26" t="e">
        <f>资产负债表!X20</f>
        <v>#VALUE!</v>
      </c>
      <c r="Z9" s="26" t="e">
        <f>资产负债表!Y20</f>
        <v>#VALUE!</v>
      </c>
      <c r="AA9" s="26" t="e">
        <f>资产负债表!Z20</f>
        <v>#VALUE!</v>
      </c>
      <c r="AB9" s="26" t="e">
        <f>资产负债表!AA20</f>
        <v>#VALUE!</v>
      </c>
      <c r="AC9" s="26" t="e">
        <f>资产负债表!AB20</f>
        <v>#VALUE!</v>
      </c>
    </row>
    <row r="10" ht="15" customHeight="1" spans="1:29">
      <c r="A10" s="52">
        <v>2.2</v>
      </c>
      <c r="B10" s="53" t="s">
        <v>647</v>
      </c>
      <c r="C10" s="51"/>
      <c r="D10" s="51">
        <f>资产负债表!C19</f>
        <v>0</v>
      </c>
      <c r="E10" s="54" t="e">
        <f>资产负债表!D19</f>
        <v>#VALUE!</v>
      </c>
      <c r="F10" s="55" t="e">
        <f>资产负债表!E19</f>
        <v>#VALUE!</v>
      </c>
      <c r="G10" s="55" t="e">
        <f>资产负债表!F19</f>
        <v>#VALUE!</v>
      </c>
      <c r="H10" s="55" t="e">
        <f>资产负债表!G19</f>
        <v>#VALUE!</v>
      </c>
      <c r="I10" s="55" t="e">
        <f>资产负债表!H19</f>
        <v>#VALUE!</v>
      </c>
      <c r="J10" s="55" t="e">
        <f>资产负债表!I19</f>
        <v>#VALUE!</v>
      </c>
      <c r="K10" s="55" t="e">
        <f>资产负债表!J19</f>
        <v>#VALUE!</v>
      </c>
      <c r="L10" s="55" t="e">
        <f>资产负债表!K19</f>
        <v>#VALUE!</v>
      </c>
      <c r="M10" s="55" t="e">
        <f>资产负债表!L19</f>
        <v>#VALUE!</v>
      </c>
      <c r="N10" s="55" t="e">
        <f>资产负债表!M19</f>
        <v>#VALUE!</v>
      </c>
      <c r="O10" s="55" t="e">
        <f>资产负债表!N19</f>
        <v>#VALUE!</v>
      </c>
      <c r="P10" s="55" t="e">
        <f>资产负债表!O19</f>
        <v>#VALUE!</v>
      </c>
      <c r="Q10" s="55" t="e">
        <f>资产负债表!P19</f>
        <v>#VALUE!</v>
      </c>
      <c r="R10" s="55" t="e">
        <f>资产负债表!Q19</f>
        <v>#VALUE!</v>
      </c>
      <c r="S10" s="55" t="e">
        <f>资产负债表!R19</f>
        <v>#VALUE!</v>
      </c>
      <c r="T10" s="55" t="e">
        <f>资产负债表!S19</f>
        <v>#VALUE!</v>
      </c>
      <c r="U10" s="55" t="e">
        <f>资产负债表!T19</f>
        <v>#VALUE!</v>
      </c>
      <c r="V10" s="55" t="e">
        <f>资产负债表!U19</f>
        <v>#VALUE!</v>
      </c>
      <c r="W10" s="55" t="e">
        <f>资产负债表!V19</f>
        <v>#VALUE!</v>
      </c>
      <c r="X10" s="55" t="e">
        <f>资产负债表!W19</f>
        <v>#VALUE!</v>
      </c>
      <c r="Y10" s="55" t="e">
        <f>资产负债表!X19</f>
        <v>#VALUE!</v>
      </c>
      <c r="Z10" s="55" t="e">
        <f>资产负债表!Y19</f>
        <v>#VALUE!</v>
      </c>
      <c r="AA10" s="55" t="e">
        <f>资产负债表!Z19</f>
        <v>#VALUE!</v>
      </c>
      <c r="AB10" s="55" t="e">
        <f>资产负债表!AA19</f>
        <v>#VALUE!</v>
      </c>
      <c r="AC10" s="55" t="e">
        <f>资产负债表!AB19</f>
        <v>#VALUE!</v>
      </c>
    </row>
    <row r="11" ht="15" customHeight="1" spans="1:29">
      <c r="A11" s="52">
        <v>2.3</v>
      </c>
      <c r="B11" s="24" t="s">
        <v>398</v>
      </c>
      <c r="C11" s="51"/>
      <c r="D11" s="51">
        <f>资产负债表!C9</f>
        <v>0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 ht="15" customHeight="1" spans="1:29">
      <c r="A12" s="49">
        <v>3</v>
      </c>
      <c r="B12" s="53" t="s">
        <v>648</v>
      </c>
      <c r="C12" s="26" t="e">
        <f>SUM(D12:AC12)</f>
        <v>#VALUE!</v>
      </c>
      <c r="D12" s="51">
        <f t="shared" ref="D12:AC12" si="0">D5-D8</f>
        <v>0</v>
      </c>
      <c r="E12" s="57" t="e">
        <f t="shared" si="0"/>
        <v>#VALUE!</v>
      </c>
      <c r="F12" s="58" t="e">
        <f t="shared" si="0"/>
        <v>#VALUE!</v>
      </c>
      <c r="G12" s="58" t="e">
        <f t="shared" si="0"/>
        <v>#VALUE!</v>
      </c>
      <c r="H12" s="58" t="e">
        <f t="shared" si="0"/>
        <v>#VALUE!</v>
      </c>
      <c r="I12" s="58" t="e">
        <f t="shared" si="0"/>
        <v>#VALUE!</v>
      </c>
      <c r="J12" s="58" t="e">
        <f t="shared" si="0"/>
        <v>#VALUE!</v>
      </c>
      <c r="K12" s="58" t="e">
        <f t="shared" si="0"/>
        <v>#VALUE!</v>
      </c>
      <c r="L12" s="58" t="e">
        <f t="shared" si="0"/>
        <v>#VALUE!</v>
      </c>
      <c r="M12" s="58" t="e">
        <f t="shared" si="0"/>
        <v>#VALUE!</v>
      </c>
      <c r="N12" s="58" t="e">
        <f t="shared" si="0"/>
        <v>#VALUE!</v>
      </c>
      <c r="O12" s="58" t="e">
        <f t="shared" si="0"/>
        <v>#VALUE!</v>
      </c>
      <c r="P12" s="58" t="e">
        <f t="shared" si="0"/>
        <v>#VALUE!</v>
      </c>
      <c r="Q12" s="58" t="e">
        <f t="shared" si="0"/>
        <v>#VALUE!</v>
      </c>
      <c r="R12" s="58" t="e">
        <f t="shared" si="0"/>
        <v>#VALUE!</v>
      </c>
      <c r="S12" s="58" t="e">
        <f t="shared" si="0"/>
        <v>#VALUE!</v>
      </c>
      <c r="T12" s="58" t="e">
        <f t="shared" si="0"/>
        <v>#VALUE!</v>
      </c>
      <c r="U12" s="58" t="e">
        <f t="shared" si="0"/>
        <v>#VALUE!</v>
      </c>
      <c r="V12" s="58" t="e">
        <f t="shared" si="0"/>
        <v>#VALUE!</v>
      </c>
      <c r="W12" s="58" t="e">
        <f t="shared" si="0"/>
        <v>#VALUE!</v>
      </c>
      <c r="X12" s="58" t="e">
        <f t="shared" si="0"/>
        <v>#VALUE!</v>
      </c>
      <c r="Y12" s="58" t="e">
        <f t="shared" si="0"/>
        <v>#VALUE!</v>
      </c>
      <c r="Z12" s="58" t="e">
        <f t="shared" si="0"/>
        <v>#VALUE!</v>
      </c>
      <c r="AA12" s="58" t="e">
        <f t="shared" si="0"/>
        <v>#VALUE!</v>
      </c>
      <c r="AB12" s="58" t="e">
        <f t="shared" si="0"/>
        <v>#VALUE!</v>
      </c>
      <c r="AC12" s="58" t="e">
        <f t="shared" si="0"/>
        <v>#VALUE!</v>
      </c>
    </row>
    <row r="13" ht="15" customHeight="1" spans="1:29">
      <c r="A13" s="49">
        <v>4</v>
      </c>
      <c r="B13" s="53" t="s">
        <v>649</v>
      </c>
      <c r="C13" s="51"/>
      <c r="D13" s="51">
        <v>0</v>
      </c>
      <c r="E13" s="51" t="e">
        <f>IF(COLUMN()-3&lt;=基本参数!$B$2+1,E12-D12,0)</f>
        <v>#VALUE!</v>
      </c>
      <c r="F13" s="26" t="e">
        <f>IF(COLUMN()-3&lt;=基本参数!$B$2+1,F12-E12,0)</f>
        <v>#VALUE!</v>
      </c>
      <c r="G13" s="26" t="e">
        <f>IF(COLUMN()-3&lt;=基本参数!$B$2+1,G12-F12,0)</f>
        <v>#VALUE!</v>
      </c>
      <c r="H13" s="26" t="e">
        <f>IF(COLUMN()-3&lt;=基本参数!$B$2+1,H12-G12,0)</f>
        <v>#VALUE!</v>
      </c>
      <c r="I13" s="26" t="e">
        <f>IF(COLUMN()-3&lt;=基本参数!$B$2+1,I12-H12,0)</f>
        <v>#VALUE!</v>
      </c>
      <c r="J13" s="26" t="e">
        <f>IF(COLUMN()-3&lt;=基本参数!$B$2+1,J12-I12,0)</f>
        <v>#VALUE!</v>
      </c>
      <c r="K13" s="26" t="e">
        <f>IF(COLUMN()-3&lt;=基本参数!$B$2+1,K12-J12,0)</f>
        <v>#VALUE!</v>
      </c>
      <c r="L13" s="26" t="e">
        <f>IF(COLUMN()-3&lt;=基本参数!$B$2+1,L12-K12,0)</f>
        <v>#VALUE!</v>
      </c>
      <c r="M13" s="26" t="e">
        <f>IF(COLUMN()-3&lt;=基本参数!$B$2+1,M12-L12,0)</f>
        <v>#VALUE!</v>
      </c>
      <c r="N13" s="26" t="e">
        <f>IF(COLUMN()-3&lt;=基本参数!$B$2+1,N12-M12,0)</f>
        <v>#VALUE!</v>
      </c>
      <c r="O13" s="26" t="e">
        <f>IF(COLUMN()-3&lt;=基本参数!$B$2+1,O12-N12,0)</f>
        <v>#VALUE!</v>
      </c>
      <c r="P13" s="26" t="e">
        <f>IF(COLUMN()-3&lt;=基本参数!$B$2+1,P12-O12,0)</f>
        <v>#VALUE!</v>
      </c>
      <c r="Q13" s="26" t="e">
        <f>IF(COLUMN()-3&lt;=基本参数!$B$2+1,Q12-P12,0)</f>
        <v>#VALUE!</v>
      </c>
      <c r="R13" s="26" t="e">
        <f>IF(COLUMN()-3&lt;=基本参数!$B$2+1,R12-Q12,0)</f>
        <v>#VALUE!</v>
      </c>
      <c r="S13" s="26" t="e">
        <f>IF(COLUMN()-3&lt;=基本参数!$B$2+1,S12-R12,0)</f>
        <v>#VALUE!</v>
      </c>
      <c r="T13" s="26" t="e">
        <f>IF(COLUMN()-3&lt;=基本参数!$B$2+1,T12-S12,0)</f>
        <v>#VALUE!</v>
      </c>
      <c r="U13" s="26" t="e">
        <f>IF(COLUMN()-3&lt;=基本参数!$B$2+1,U12-T12,0)</f>
        <v>#VALUE!</v>
      </c>
      <c r="V13" s="26" t="e">
        <f>IF(COLUMN()-3&lt;=基本参数!$B$2+1,V12-U12,0)</f>
        <v>#VALUE!</v>
      </c>
      <c r="W13" s="26" t="e">
        <f>IF(COLUMN()-3&lt;=基本参数!$B$2+1,W12-V12,0)</f>
        <v>#VALUE!</v>
      </c>
      <c r="X13" s="26" t="e">
        <f>IF(COLUMN()-3&lt;=基本参数!$B$2+1,X12-W12,0)</f>
        <v>#VALUE!</v>
      </c>
      <c r="Y13" s="26" t="e">
        <f>IF(COLUMN()-3&lt;=基本参数!$B$2+1,Y12-X12,0)</f>
        <v>#VALUE!</v>
      </c>
      <c r="Z13" s="26" t="e">
        <f>IF(COLUMN()-3&lt;=基本参数!$B$2+1,Z12-Y12,0)</f>
        <v>#VALUE!</v>
      </c>
      <c r="AA13" s="26" t="e">
        <f>IF(COLUMN()-3&lt;=基本参数!$B$2+1,AA12-Z12,0)</f>
        <v>#VALUE!</v>
      </c>
      <c r="AB13" s="26" t="e">
        <f>IF(COLUMN()-3&lt;=基本参数!$B$2+1,AB12-AA12,0)</f>
        <v>#VALUE!</v>
      </c>
      <c r="AC13" s="26" t="e">
        <f>IF(COLUMN()-3&lt;=基本参数!$B$2+1,AC12-AB12,0)</f>
        <v>#VALUE!</v>
      </c>
    </row>
  </sheetData>
  <mergeCells count="7">
    <mergeCell ref="A1:AC1"/>
    <mergeCell ref="A2:AC2"/>
    <mergeCell ref="E3:AC3"/>
    <mergeCell ref="E11:AC11"/>
    <mergeCell ref="A3:A4"/>
    <mergeCell ref="B3:B4"/>
    <mergeCell ref="C3:C4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23"/>
  <sheetViews>
    <sheetView workbookViewId="0">
      <selection activeCell="A1" sqref="A1:D1"/>
    </sheetView>
  </sheetViews>
  <sheetFormatPr defaultColWidth="8.83333333333333" defaultRowHeight="13.5"/>
  <cols>
    <col min="1" max="1" width="8.83333333333333" style="13" customWidth="1"/>
    <col min="2" max="2" width="32.8333333333333" style="14" customWidth="1"/>
    <col min="3" max="3" width="12.8333333333333" style="2" customWidth="1"/>
    <col min="4" max="7" width="12.8333333333333" style="15" customWidth="1"/>
    <col min="8" max="8" width="11.5" style="15" customWidth="1"/>
    <col min="9" max="14" width="9.5" customWidth="1"/>
  </cols>
  <sheetData>
    <row r="1" ht="27.5" customHeight="1" spans="1:14">
      <c r="A1" s="16" t="s">
        <v>268</v>
      </c>
      <c r="B1" s="17"/>
      <c r="C1" s="18"/>
      <c r="D1" s="19"/>
    </row>
    <row r="2" ht="15" customHeight="1" spans="1:14">
      <c r="A2" s="20" t="s">
        <v>1</v>
      </c>
      <c r="B2" s="21" t="s">
        <v>2</v>
      </c>
      <c r="C2" s="22" t="s">
        <v>5</v>
      </c>
      <c r="D2" s="21" t="s">
        <v>4</v>
      </c>
    </row>
    <row r="3" ht="15" customHeight="1" spans="1:14">
      <c r="A3" s="23">
        <v>1</v>
      </c>
      <c r="B3" s="24" t="s">
        <v>650</v>
      </c>
      <c r="C3" s="25" t="s">
        <v>270</v>
      </c>
      <c r="D3" s="26" t="e">
        <f>项目投资现金流量表!C28</f>
        <v>#N/A</v>
      </c>
    </row>
    <row r="4" ht="15" customHeight="1" spans="1:14">
      <c r="A4" s="23">
        <v>2</v>
      </c>
      <c r="B4" s="24" t="s">
        <v>651</v>
      </c>
      <c r="C4" s="25" t="s">
        <v>270</v>
      </c>
      <c r="D4" s="26" t="e">
        <f>项目投资现金流量表!C29</f>
        <v>#N/A</v>
      </c>
    </row>
    <row r="5" ht="15" customHeight="1" spans="1:14">
      <c r="A5" s="23">
        <v>3</v>
      </c>
      <c r="B5" s="24" t="s">
        <v>652</v>
      </c>
      <c r="C5" s="25" t="s">
        <v>86</v>
      </c>
      <c r="D5" s="26" t="e">
        <f>项目投资现金流量表!C24</f>
        <v>#VALUE!</v>
      </c>
    </row>
    <row r="6" ht="15" customHeight="1" spans="1:14">
      <c r="A6" s="23">
        <v>4</v>
      </c>
      <c r="B6" s="24" t="s">
        <v>653</v>
      </c>
      <c r="C6" s="25" t="s">
        <v>86</v>
      </c>
      <c r="D6" s="26" t="e">
        <f>项目投资现金流量表!C25</f>
        <v>#VALUE!</v>
      </c>
    </row>
    <row r="7" ht="15" customHeight="1" spans="1:14">
      <c r="A7" s="23">
        <v>5</v>
      </c>
      <c r="B7" s="24" t="s">
        <v>654</v>
      </c>
      <c r="C7" s="25" t="s">
        <v>24</v>
      </c>
      <c r="D7" s="26" t="e">
        <f>项目投资现金流量表!C26</f>
        <v>#VALUE!</v>
      </c>
    </row>
    <row r="8" ht="15" customHeight="1" spans="1:14">
      <c r="A8" s="23">
        <v>6</v>
      </c>
      <c r="B8" s="24" t="s">
        <v>655</v>
      </c>
      <c r="C8" s="25" t="s">
        <v>24</v>
      </c>
      <c r="D8" s="26" t="e">
        <f>项目投资现金流量表!C27</f>
        <v>#VALUE!</v>
      </c>
      <c r="I8" s="27"/>
      <c r="J8" s="27"/>
      <c r="K8" s="27"/>
      <c r="L8" s="27"/>
      <c r="M8" s="27"/>
      <c r="N8" s="27"/>
    </row>
    <row r="9" ht="15" customHeight="1" spans="1:14">
      <c r="A9" s="23">
        <v>7</v>
      </c>
      <c r="B9" s="24" t="s">
        <v>656</v>
      </c>
      <c r="C9" s="25" t="s">
        <v>86</v>
      </c>
      <c r="D9" s="26" t="e">
        <f>项目资本金现金流量表!C23</f>
        <v>#VALUE!</v>
      </c>
      <c r="I9" s="28"/>
    </row>
    <row r="10" ht="15" customHeight="1" spans="1:14">
      <c r="A10" s="23">
        <v>8</v>
      </c>
      <c r="B10" s="24" t="s">
        <v>657</v>
      </c>
      <c r="C10" s="25" t="s">
        <v>24</v>
      </c>
      <c r="D10" s="26" t="e">
        <f>项目资本金现金流量表!C24</f>
        <v>#VALUE!</v>
      </c>
      <c r="I10" s="28"/>
    </row>
    <row r="11" ht="15" customHeight="1" spans="1:14">
      <c r="A11" s="23">
        <v>9</v>
      </c>
      <c r="B11" s="24" t="s">
        <v>658</v>
      </c>
      <c r="C11" s="25" t="s">
        <v>86</v>
      </c>
      <c r="D11" s="26" t="e">
        <f>(利润与利润分配表!C29-SUMIF(利润与利润分配表!D4:X4,"&lt;="&amp;基本参数!B3,利润与利润分配表!D29:X29))/基本参数!B4/投资计划与资金筹措表!C5*100</f>
        <v>#VALUE!</v>
      </c>
      <c r="I11" s="28"/>
    </row>
    <row r="12" ht="15" customHeight="1" spans="1:14">
      <c r="A12" s="23">
        <v>10</v>
      </c>
      <c r="B12" s="24" t="s">
        <v>659</v>
      </c>
      <c r="C12" s="25" t="s">
        <v>86</v>
      </c>
      <c r="D12" s="26" t="e">
        <f>(利润与利润分配表!C12+利润与利润分配表!C17-SUMIF(利润与利润分配表!D4:X4,"&lt;="&amp;基本参数!B3,利润与利润分配表!D12:X12)-SUMIF(利润与利润分配表!D4:X4,"&lt;="&amp;基本参数!B3,利润与利润分配表!D17:X17))/基本参数!B4/投资计划与资金筹措表!C5*100</f>
        <v>#VALUE!</v>
      </c>
      <c r="I12" s="28"/>
    </row>
    <row r="13" ht="15" customHeight="1" spans="1:14">
      <c r="A13" s="23">
        <v>11</v>
      </c>
      <c r="B13" s="24" t="s">
        <v>660</v>
      </c>
      <c r="C13" s="25" t="s">
        <v>86</v>
      </c>
      <c r="D13" s="26" t="e">
        <f>(利润与利润分配表!C21-SUMIF(利润与利润分配表!D4:X4,"&lt;="&amp;基本参数!B3,利润与利润分配表!D21:X21))/基本参数!B4/项目资本金现金流量表!C13*100</f>
        <v>#VALUE!</v>
      </c>
    </row>
    <row r="14" ht="15" customHeight="1" spans="1:14">
      <c r="A14" s="23">
        <v>12</v>
      </c>
      <c r="B14" s="24" t="s">
        <v>661</v>
      </c>
      <c r="C14" s="25" t="s">
        <v>86</v>
      </c>
      <c r="D14" s="26" t="e">
        <f ca="1">MAX(资产负债表!C26:AB26)</f>
        <v>#DIV/0!</v>
      </c>
    </row>
    <row r="15" ht="15" customHeight="1" spans="1:14">
      <c r="A15" s="23">
        <v>13</v>
      </c>
      <c r="B15" s="24" t="s">
        <v>662</v>
      </c>
      <c r="C15" s="25" t="s">
        <v>86</v>
      </c>
      <c r="D15" s="26" t="e">
        <f>(总成本费用表!C20-SUMIF(总成本费用表!D4:AC4,"&lt;="&amp;基本参数!B3,总成本费用表!D20:AC20))/(利润与利润分配表!C8-利润与利润分配表!C12)*100</f>
        <v>#REF!</v>
      </c>
    </row>
    <row r="16" ht="15" customHeight="1" spans="1:14">
      <c r="A16" s="23">
        <v>14</v>
      </c>
      <c r="B16" s="24" t="s">
        <v>663</v>
      </c>
      <c r="C16" s="25" t="s">
        <v>410</v>
      </c>
      <c r="D16" s="26" t="e">
        <f>(利润与利润分配表!C5/基本参数!B4)*D15/100</f>
        <v>#VALUE!</v>
      </c>
    </row>
    <row r="17" ht="15" customHeight="1" spans="1:8">
      <c r="A17" s="23">
        <v>15</v>
      </c>
      <c r="B17" s="24" t="s">
        <v>664</v>
      </c>
      <c r="C17" s="25" t="s">
        <v>272</v>
      </c>
      <c r="D17" s="26" t="e">
        <f>基本参数!J11/基本参数!F12/基本参数!B4/基本参数!B7*10</f>
        <v>#DIV/0!</v>
      </c>
      <c r="E17" s="27"/>
      <c r="F17" s="27"/>
      <c r="G17" s="27"/>
      <c r="H17" s="27"/>
    </row>
    <row r="18" ht="15" customHeight="1" spans="1:8">
      <c r="A18" s="23">
        <v>16</v>
      </c>
      <c r="B18" s="24" t="s">
        <v>665</v>
      </c>
      <c r="C18" s="25" t="s">
        <v>272</v>
      </c>
      <c r="D18" s="26" t="e">
        <f>利润与利润分配表!C17/基本参数!F12/基本参数!B4/基本参数!B7*10</f>
        <v>#VALUE!</v>
      </c>
      <c r="E18" s="27"/>
      <c r="F18" s="27"/>
      <c r="G18" s="27"/>
      <c r="H18" s="27"/>
    </row>
    <row r="19" ht="15" customHeight="1" spans="1:8">
      <c r="A19" s="23">
        <v>17</v>
      </c>
      <c r="B19" s="24" t="s">
        <v>666</v>
      </c>
      <c r="C19" s="25" t="s">
        <v>272</v>
      </c>
      <c r="D19" s="26" t="e">
        <f>逐年财务指标一览表!B27</f>
        <v>#VALUE!</v>
      </c>
      <c r="E19" s="27"/>
      <c r="F19" s="27"/>
      <c r="G19" s="27"/>
      <c r="H19" s="27"/>
    </row>
    <row r="20" ht="15" customHeight="1" spans="1:8">
      <c r="A20" s="23"/>
      <c r="B20" s="24" t="s">
        <v>277</v>
      </c>
      <c r="C20" s="29"/>
      <c r="D20" s="30" t="s">
        <v>278</v>
      </c>
      <c r="E20" s="6" t="s">
        <v>279</v>
      </c>
      <c r="F20" s="6" t="s">
        <v>280</v>
      </c>
      <c r="G20" s="6" t="s">
        <v>281</v>
      </c>
      <c r="H20" s="6" t="s">
        <v>282</v>
      </c>
    </row>
    <row r="21" ht="15" customHeight="1" spans="1:8">
      <c r="A21" s="23">
        <v>14</v>
      </c>
      <c r="B21" s="31" t="s">
        <v>284</v>
      </c>
      <c r="C21" s="25" t="s">
        <v>24</v>
      </c>
      <c r="D21" s="26" t="e">
        <f>利润与利润分配表!E17</f>
        <v>#VALUE!</v>
      </c>
      <c r="E21" s="26" t="e">
        <f>利润与利润分配表!F17</f>
        <v>#VALUE!</v>
      </c>
      <c r="F21" s="26" t="e">
        <f>利润与利润分配表!G17</f>
        <v>#VALUE!</v>
      </c>
      <c r="G21" s="26" t="e">
        <f>利润与利润分配表!H17</f>
        <v>#VALUE!</v>
      </c>
      <c r="H21" s="26" t="e">
        <f>利润与利润分配表!I17</f>
        <v>#VALUE!</v>
      </c>
    </row>
    <row r="22" ht="15" customHeight="1" spans="1:8">
      <c r="A22" s="23">
        <v>15</v>
      </c>
      <c r="B22" s="31" t="s">
        <v>286</v>
      </c>
      <c r="C22" s="25" t="s">
        <v>24</v>
      </c>
      <c r="D22" s="26" t="e">
        <f>EVA测算表!E12</f>
        <v>#VALUE!</v>
      </c>
      <c r="E22" s="26" t="e">
        <f>EVA测算表!F12</f>
        <v>#VALUE!</v>
      </c>
      <c r="F22" s="26" t="e">
        <f>EVA测算表!G12</f>
        <v>#VALUE!</v>
      </c>
      <c r="G22" s="26" t="e">
        <f>EVA测算表!H12</f>
        <v>#VALUE!</v>
      </c>
      <c r="H22" s="26" t="e">
        <f>EVA测算表!I12</f>
        <v>#VALUE!</v>
      </c>
    </row>
    <row r="23" ht="15" customHeight="1" spans="1:8">
      <c r="A23" s="23">
        <v>16</v>
      </c>
      <c r="B23" s="32" t="s">
        <v>288</v>
      </c>
      <c r="C23" s="5" t="s">
        <v>86</v>
      </c>
      <c r="D23" s="26" t="e">
        <f>资产负债表!D29*100</f>
        <v>#VALUE!</v>
      </c>
      <c r="E23" s="26" t="e">
        <f>资产负债表!E29*100</f>
        <v>#VALUE!</v>
      </c>
      <c r="F23" s="26" t="e">
        <f>资产负债表!F29*100</f>
        <v>#VALUE!</v>
      </c>
      <c r="G23" s="26" t="e">
        <f>资产负债表!G29*100</f>
        <v>#VALUE!</v>
      </c>
      <c r="H23" s="26" t="e">
        <f>资产负债表!H29*100</f>
        <v>#VALUE!</v>
      </c>
    </row>
  </sheetData>
  <mergeCells count="1">
    <mergeCell ref="A1:D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A27"/>
  <sheetViews>
    <sheetView workbookViewId="0">
      <selection activeCell="A1" sqref="A1"/>
    </sheetView>
  </sheetViews>
  <sheetFormatPr defaultColWidth="8.83333333333333" defaultRowHeight="13.5"/>
  <cols>
    <col min="1" max="1" width="32.1666666666667" style="1" customWidth="1"/>
    <col min="2" max="2" width="12" style="2" customWidth="1"/>
    <col min="3" max="21" width="10.5" style="2" customWidth="1"/>
    <col min="22" max="22" width="11.8333333333333" style="2" customWidth="1"/>
    <col min="23" max="27" width="11.8333333333333" style="3" customWidth="1"/>
  </cols>
  <sheetData>
    <row r="1" ht="17" customHeight="1" spans="1:27">
      <c r="A1" s="4" t="s">
        <v>667</v>
      </c>
      <c r="B1" s="5" t="s">
        <v>278</v>
      </c>
      <c r="C1" s="5" t="s">
        <v>279</v>
      </c>
      <c r="D1" s="5" t="s">
        <v>280</v>
      </c>
      <c r="E1" s="5" t="s">
        <v>281</v>
      </c>
      <c r="F1" s="5" t="s">
        <v>282</v>
      </c>
      <c r="G1" s="5" t="s">
        <v>327</v>
      </c>
      <c r="H1" s="5" t="s">
        <v>328</v>
      </c>
      <c r="I1" s="5" t="s">
        <v>329</v>
      </c>
      <c r="J1" s="5" t="s">
        <v>330</v>
      </c>
      <c r="K1" s="5" t="s">
        <v>331</v>
      </c>
      <c r="L1" s="5" t="s">
        <v>332</v>
      </c>
      <c r="M1" s="5" t="s">
        <v>333</v>
      </c>
      <c r="N1" s="5" t="s">
        <v>334</v>
      </c>
      <c r="O1" s="5" t="s">
        <v>335</v>
      </c>
      <c r="P1" s="5" t="s">
        <v>336</v>
      </c>
      <c r="Q1" s="5" t="s">
        <v>337</v>
      </c>
      <c r="R1" s="5" t="s">
        <v>338</v>
      </c>
      <c r="S1" s="5" t="s">
        <v>339</v>
      </c>
      <c r="T1" s="5" t="s">
        <v>340</v>
      </c>
      <c r="U1" s="5" t="s">
        <v>341</v>
      </c>
      <c r="V1" s="5" t="s">
        <v>342</v>
      </c>
      <c r="W1" s="5" t="s">
        <v>343</v>
      </c>
      <c r="X1" s="5" t="s">
        <v>344</v>
      </c>
      <c r="Y1" s="5" t="s">
        <v>345</v>
      </c>
      <c r="Z1" s="5" t="s">
        <v>346</v>
      </c>
      <c r="AA1" s="5" t="s">
        <v>347</v>
      </c>
    </row>
    <row r="2" ht="17.25" customHeight="1" spans="1:27">
      <c r="A2" s="6" t="s">
        <v>668</v>
      </c>
      <c r="B2" s="5" t="e">
        <f>总成本费用表!D20*10000/(利润与利润分配表!D5*1000)</f>
        <v>#DIV/0!</v>
      </c>
      <c r="C2" s="5" t="e">
        <f>总成本费用表!E20*10000/(利润与利润分配表!E5*1000)</f>
        <v>#REF!</v>
      </c>
      <c r="D2" s="5" t="e">
        <f>总成本费用表!F20*10000/(利润与利润分配表!F5*1000)</f>
        <v>#REF!</v>
      </c>
      <c r="E2" s="5" t="e">
        <f>总成本费用表!G20*10000/(利润与利润分配表!G5*1000)</f>
        <v>#REF!</v>
      </c>
      <c r="F2" s="5" t="e">
        <f>总成本费用表!H20*10000/(利润与利润分配表!H5*1000)</f>
        <v>#REF!</v>
      </c>
      <c r="G2" s="5" t="e">
        <f>总成本费用表!I20*10000/(利润与利润分配表!I5*1000)</f>
        <v>#REF!</v>
      </c>
      <c r="H2" s="5" t="e">
        <f>总成本费用表!J20*10000/(利润与利润分配表!J5*1000)</f>
        <v>#REF!</v>
      </c>
      <c r="I2" s="5" t="e">
        <f>总成本费用表!K20*10000/(利润与利润分配表!K5*1000)</f>
        <v>#REF!</v>
      </c>
      <c r="J2" s="5" t="e">
        <f>总成本费用表!L20*10000/(利润与利润分配表!L5*1000)</f>
        <v>#REF!</v>
      </c>
      <c r="K2" s="5" t="e">
        <f>总成本费用表!M20*10000/(利润与利润分配表!M5*1000)</f>
        <v>#REF!</v>
      </c>
      <c r="L2" s="5" t="e">
        <f>总成本费用表!N20*10000/(利润与利润分配表!N5*1000)</f>
        <v>#REF!</v>
      </c>
      <c r="M2" s="5" t="e">
        <f>总成本费用表!O20*10000/(利润与利润分配表!O5*1000)</f>
        <v>#REF!</v>
      </c>
      <c r="N2" s="5" t="e">
        <f>总成本费用表!P20*10000/(利润与利润分配表!P5*1000)</f>
        <v>#REF!</v>
      </c>
      <c r="O2" s="5" t="e">
        <f>总成本费用表!Q20*10000/(利润与利润分配表!Q5*1000)</f>
        <v>#REF!</v>
      </c>
      <c r="P2" s="5" t="e">
        <f>总成本费用表!R20*10000/(利润与利润分配表!R5*1000)</f>
        <v>#REF!</v>
      </c>
      <c r="Q2" s="5" t="e">
        <f>总成本费用表!S20*10000/(利润与利润分配表!S5*1000)</f>
        <v>#REF!</v>
      </c>
      <c r="R2" s="5" t="e">
        <f>总成本费用表!T20*10000/(利润与利润分配表!T5*1000)</f>
        <v>#REF!</v>
      </c>
      <c r="S2" s="5" t="e">
        <f>总成本费用表!U20*10000/(利润与利润分配表!U5*1000)</f>
        <v>#REF!</v>
      </c>
      <c r="T2" s="5" t="e">
        <f>总成本费用表!V20*10000/(利润与利润分配表!V5*1000)</f>
        <v>#REF!</v>
      </c>
      <c r="U2" s="5" t="e">
        <f>总成本费用表!W20*10000/(利润与利润分配表!W5*1000)</f>
        <v>#REF!</v>
      </c>
      <c r="V2" s="5" t="e">
        <f>总成本费用表!X20*10000/(利润与利润分配表!X5*1000)</f>
        <v>#REF!</v>
      </c>
      <c r="W2" s="5" t="e">
        <f>总成本费用表!Y20*10000/(利润与利润分配表!Y5*1000)</f>
        <v>#REF!</v>
      </c>
      <c r="X2" s="5" t="e">
        <f>总成本费用表!Z20*10000/(利润与利润分配表!Z5*1000)</f>
        <v>#REF!</v>
      </c>
      <c r="Y2" s="5" t="e">
        <f>总成本费用表!AA20*10000/(利润与利润分配表!AA5*1000)</f>
        <v>#REF!</v>
      </c>
      <c r="Z2" s="5" t="e">
        <f>总成本费用表!AB20*10000/(利润与利润分配表!AB5*1000)</f>
        <v>#REF!</v>
      </c>
      <c r="AA2" s="5" t="e">
        <f>总成本费用表!AC20*10000/(利润与利润分配表!AC5*1000)</f>
        <v>#REF!</v>
      </c>
    </row>
    <row r="3" ht="17.25" customHeight="1" spans="1:27">
      <c r="A3" s="6" t="s">
        <v>669</v>
      </c>
      <c r="B3" s="5" t="e">
        <f>利润与利润分配表!D17*10000/(利润与利润分配表!D5*1000)</f>
        <v>#DIV/0!</v>
      </c>
      <c r="C3" s="5" t="e">
        <f>利润与利润分配表!E17*10000/(利润与利润分配表!E5*1000)</f>
        <v>#VALUE!</v>
      </c>
      <c r="D3" s="5" t="e">
        <f>利润与利润分配表!F17*10000/(利润与利润分配表!F5*1000)</f>
        <v>#VALUE!</v>
      </c>
      <c r="E3" s="5" t="e">
        <f>利润与利润分配表!G17*10000/(利润与利润分配表!G5*1000)</f>
        <v>#VALUE!</v>
      </c>
      <c r="F3" s="5" t="e">
        <f>利润与利润分配表!H17*10000/(利润与利润分配表!H5*1000)</f>
        <v>#VALUE!</v>
      </c>
      <c r="G3" s="5" t="e">
        <f>利润与利润分配表!I17*10000/(利润与利润分配表!I5*1000)</f>
        <v>#VALUE!</v>
      </c>
      <c r="H3" s="5" t="e">
        <f>利润与利润分配表!J17*10000/(利润与利润分配表!J5*1000)</f>
        <v>#VALUE!</v>
      </c>
      <c r="I3" s="5" t="e">
        <f>利润与利润分配表!K17*10000/(利润与利润分配表!K5*1000)</f>
        <v>#VALUE!</v>
      </c>
      <c r="J3" s="5" t="e">
        <f>利润与利润分配表!L17*10000/(利润与利润分配表!L5*1000)</f>
        <v>#VALUE!</v>
      </c>
      <c r="K3" s="5" t="e">
        <f>利润与利润分配表!M17*10000/(利润与利润分配表!M5*1000)</f>
        <v>#VALUE!</v>
      </c>
      <c r="L3" s="5" t="e">
        <f>利润与利润分配表!N17*10000/(利润与利润分配表!N5*1000)</f>
        <v>#VALUE!</v>
      </c>
      <c r="M3" s="5" t="e">
        <f>利润与利润分配表!O17*10000/(利润与利润分配表!O5*1000)</f>
        <v>#VALUE!</v>
      </c>
      <c r="N3" s="5" t="e">
        <f>利润与利润分配表!P17*10000/(利润与利润分配表!P5*1000)</f>
        <v>#VALUE!</v>
      </c>
      <c r="O3" s="5" t="e">
        <f>利润与利润分配表!Q17*10000/(利润与利润分配表!Q5*1000)</f>
        <v>#VALUE!</v>
      </c>
      <c r="P3" s="5" t="e">
        <f>利润与利润分配表!R17*10000/(利润与利润分配表!R5*1000)</f>
        <v>#VALUE!</v>
      </c>
      <c r="Q3" s="5" t="e">
        <f>利润与利润分配表!S17*10000/(利润与利润分配表!S5*1000)</f>
        <v>#VALUE!</v>
      </c>
      <c r="R3" s="5" t="e">
        <f>利润与利润分配表!T17*10000/(利润与利润分配表!T5*1000)</f>
        <v>#VALUE!</v>
      </c>
      <c r="S3" s="5" t="e">
        <f>利润与利润分配表!U17*10000/(利润与利润分配表!U5*1000)</f>
        <v>#VALUE!</v>
      </c>
      <c r="T3" s="5" t="e">
        <f>利润与利润分配表!V17*10000/(利润与利润分配表!V5*1000)</f>
        <v>#VALUE!</v>
      </c>
      <c r="U3" s="5" t="e">
        <f>利润与利润分配表!W17*10000/(利润与利润分配表!W5*1000)</f>
        <v>#VALUE!</v>
      </c>
      <c r="V3" s="5" t="e">
        <f>利润与利润分配表!X17*10000/(利润与利润分配表!X5*1000)</f>
        <v>#VALUE!</v>
      </c>
      <c r="W3" s="5" t="e">
        <f>利润与利润分配表!Y17*10000/(利润与利润分配表!Y5*1000)</f>
        <v>#VALUE!</v>
      </c>
      <c r="X3" s="5" t="e">
        <f>利润与利润分配表!Z17*10000/(利润与利润分配表!Z5*1000)</f>
        <v>#VALUE!</v>
      </c>
      <c r="Y3" s="5" t="e">
        <f>利润与利润分配表!AA17*10000/(利润与利润分配表!AA5*1000)</f>
        <v>#VALUE!</v>
      </c>
      <c r="Z3" s="5" t="e">
        <f>利润与利润分配表!AB17*10000/(利润与利润分配表!AB5*1000)</f>
        <v>#VALUE!</v>
      </c>
      <c r="AA3" s="5" t="e">
        <f>利润与利润分配表!AC17*10000/(利润与利润分配表!AC5*1000)</f>
        <v>#VALUE!</v>
      </c>
    </row>
    <row r="4" ht="17.25" customHeight="1" spans="1:27">
      <c r="A4" s="6" t="s">
        <v>670</v>
      </c>
      <c r="B4" s="7">
        <f>利润与利润分配表!D6</f>
        <v>0</v>
      </c>
      <c r="C4" s="5" t="e">
        <f>利润与利润分配表!E6</f>
        <v>#VALUE!</v>
      </c>
      <c r="D4" s="5" t="e">
        <f>利润与利润分配表!F6</f>
        <v>#VALUE!</v>
      </c>
      <c r="E4" s="5" t="e">
        <f>利润与利润分配表!G6</f>
        <v>#VALUE!</v>
      </c>
      <c r="F4" s="5" t="e">
        <f>利润与利润分配表!H6</f>
        <v>#VALUE!</v>
      </c>
      <c r="G4" s="5" t="e">
        <f>利润与利润分配表!I6</f>
        <v>#VALUE!</v>
      </c>
      <c r="H4" s="5" t="e">
        <f>利润与利润分配表!J6</f>
        <v>#VALUE!</v>
      </c>
      <c r="I4" s="5" t="e">
        <f>利润与利润分配表!K6</f>
        <v>#VALUE!</v>
      </c>
      <c r="J4" s="5" t="e">
        <f>利润与利润分配表!L6</f>
        <v>#VALUE!</v>
      </c>
      <c r="K4" s="5" t="e">
        <f>利润与利润分配表!M6</f>
        <v>#VALUE!</v>
      </c>
      <c r="L4" s="5" t="e">
        <f>利润与利润分配表!N6</f>
        <v>#VALUE!</v>
      </c>
      <c r="M4" s="5" t="e">
        <f>利润与利润分配表!O6</f>
        <v>#VALUE!</v>
      </c>
      <c r="N4" s="5" t="e">
        <f>利润与利润分配表!P6</f>
        <v>#VALUE!</v>
      </c>
      <c r="O4" s="5" t="e">
        <f>利润与利润分配表!Q6</f>
        <v>#VALUE!</v>
      </c>
      <c r="P4" s="5" t="e">
        <f>利润与利润分配表!R6</f>
        <v>#VALUE!</v>
      </c>
      <c r="Q4" s="5" t="e">
        <f>利润与利润分配表!S6</f>
        <v>#VALUE!</v>
      </c>
      <c r="R4" s="5" t="e">
        <f>利润与利润分配表!T6</f>
        <v>#VALUE!</v>
      </c>
      <c r="S4" s="5" t="e">
        <f>利润与利润分配表!U6</f>
        <v>#VALUE!</v>
      </c>
      <c r="T4" s="5" t="e">
        <f>利润与利润分配表!V6</f>
        <v>#VALUE!</v>
      </c>
      <c r="U4" s="5" t="e">
        <f>利润与利润分配表!W6</f>
        <v>#VALUE!</v>
      </c>
      <c r="V4" s="5" t="e">
        <f>利润与利润分配表!X6</f>
        <v>#VALUE!</v>
      </c>
      <c r="W4" s="5" t="e">
        <f>利润与利润分配表!Y6</f>
        <v>#VALUE!</v>
      </c>
      <c r="X4" s="5" t="e">
        <f>利润与利润分配表!Z6</f>
        <v>#VALUE!</v>
      </c>
      <c r="Y4" s="5" t="e">
        <f>利润与利润分配表!AA6</f>
        <v>#VALUE!</v>
      </c>
      <c r="Z4" s="5" t="e">
        <f>利润与利润分配表!AB6</f>
        <v>#VALUE!</v>
      </c>
      <c r="AA4" s="5" t="e">
        <f>利润与利润分配表!AC6</f>
        <v>#VALUE!</v>
      </c>
    </row>
    <row r="5" ht="17.25" customHeight="1" spans="1:27">
      <c r="A5" s="6" t="s">
        <v>671</v>
      </c>
      <c r="B5" s="5">
        <f>总成本费用表!D12</f>
        <v>0</v>
      </c>
      <c r="C5" s="5">
        <f>总成本费用表!E12</f>
        <v>0</v>
      </c>
      <c r="D5" s="5" t="e">
        <f>总成本费用表!F12</f>
        <v>#VALUE!</v>
      </c>
      <c r="E5" s="5" t="e">
        <f>总成本费用表!G12</f>
        <v>#VALUE!</v>
      </c>
      <c r="F5" s="5" t="e">
        <f>总成本费用表!H12</f>
        <v>#VALUE!</v>
      </c>
      <c r="G5" s="5" t="e">
        <f>总成本费用表!I12</f>
        <v>#VALUE!</v>
      </c>
      <c r="H5" s="5" t="e">
        <f>总成本费用表!J12</f>
        <v>#VALUE!</v>
      </c>
      <c r="I5" s="5" t="e">
        <f>总成本费用表!K12</f>
        <v>#VALUE!</v>
      </c>
      <c r="J5" s="5" t="e">
        <f>总成本费用表!L12</f>
        <v>#VALUE!</v>
      </c>
      <c r="K5" s="5" t="e">
        <f>总成本费用表!M12</f>
        <v>#VALUE!</v>
      </c>
      <c r="L5" s="5" t="e">
        <f>总成本费用表!N12</f>
        <v>#VALUE!</v>
      </c>
      <c r="M5" s="5" t="e">
        <f>总成本费用表!O12</f>
        <v>#VALUE!</v>
      </c>
      <c r="N5" s="5" t="e">
        <f>总成本费用表!P12</f>
        <v>#VALUE!</v>
      </c>
      <c r="O5" s="5" t="e">
        <f>总成本费用表!Q12</f>
        <v>#VALUE!</v>
      </c>
      <c r="P5" s="5" t="e">
        <f>总成本费用表!R12</f>
        <v>#VALUE!</v>
      </c>
      <c r="Q5" s="5" t="e">
        <f>总成本费用表!S12</f>
        <v>#VALUE!</v>
      </c>
      <c r="R5" s="5" t="e">
        <f>总成本费用表!T12</f>
        <v>#VALUE!</v>
      </c>
      <c r="S5" s="5" t="e">
        <f>总成本费用表!U12</f>
        <v>#VALUE!</v>
      </c>
      <c r="T5" s="5" t="e">
        <f>总成本费用表!V12</f>
        <v>#VALUE!</v>
      </c>
      <c r="U5" s="5" t="e">
        <f>总成本费用表!W12</f>
        <v>#VALUE!</v>
      </c>
      <c r="V5" s="5" t="e">
        <f>总成本费用表!X12</f>
        <v>#VALUE!</v>
      </c>
      <c r="W5" s="5" t="e">
        <f>总成本费用表!Y12</f>
        <v>#VALUE!</v>
      </c>
      <c r="X5" s="5" t="e">
        <f>总成本费用表!Z12</f>
        <v>#VALUE!</v>
      </c>
      <c r="Y5" s="5" t="e">
        <f>总成本费用表!AA12</f>
        <v>#VALUE!</v>
      </c>
      <c r="Z5" s="5" t="e">
        <f>总成本费用表!AB12</f>
        <v>#VALUE!</v>
      </c>
      <c r="AA5" s="5" t="e">
        <f>总成本费用表!AC12</f>
        <v>#VALUE!</v>
      </c>
    </row>
    <row r="6" ht="17.25" customHeight="1" spans="1:27">
      <c r="A6" s="6" t="s">
        <v>672</v>
      </c>
      <c r="B6" s="5">
        <f>项目资本金现金流量表!D21</f>
        <v>0</v>
      </c>
      <c r="C6" s="5" t="e">
        <f>项目资本金现金流量表!E21</f>
        <v>#VALUE!</v>
      </c>
      <c r="D6" s="5" t="e">
        <f>项目资本金现金流量表!F21</f>
        <v>#VALUE!</v>
      </c>
      <c r="E6" s="5" t="e">
        <f>项目资本金现金流量表!G21</f>
        <v>#VALUE!</v>
      </c>
      <c r="F6" s="5" t="e">
        <f>项目资本金现金流量表!H21</f>
        <v>#VALUE!</v>
      </c>
      <c r="G6" s="5" t="e">
        <f>项目资本金现金流量表!I21</f>
        <v>#VALUE!</v>
      </c>
      <c r="H6" s="5" t="e">
        <f>项目资本金现金流量表!J21</f>
        <v>#VALUE!</v>
      </c>
      <c r="I6" s="5" t="e">
        <f>项目资本金现金流量表!K21</f>
        <v>#VALUE!</v>
      </c>
      <c r="J6" s="5" t="e">
        <f>项目资本金现金流量表!L21</f>
        <v>#VALUE!</v>
      </c>
      <c r="K6" s="5" t="e">
        <f>项目资本金现金流量表!M21</f>
        <v>#VALUE!</v>
      </c>
      <c r="L6" s="5" t="e">
        <f>项目资本金现金流量表!N21</f>
        <v>#VALUE!</v>
      </c>
      <c r="M6" s="5" t="e">
        <f>项目资本金现金流量表!O21</f>
        <v>#VALUE!</v>
      </c>
      <c r="N6" s="5" t="e">
        <f>项目资本金现金流量表!P21</f>
        <v>#VALUE!</v>
      </c>
      <c r="O6" s="5" t="e">
        <f>项目资本金现金流量表!Q21</f>
        <v>#VALUE!</v>
      </c>
      <c r="P6" s="5" t="e">
        <f>项目资本金现金流量表!R21</f>
        <v>#VALUE!</v>
      </c>
      <c r="Q6" s="5" t="e">
        <f>项目资本金现金流量表!S21</f>
        <v>#VALUE!</v>
      </c>
      <c r="R6" s="5" t="e">
        <f>项目资本金现金流量表!T21</f>
        <v>#VALUE!</v>
      </c>
      <c r="S6" s="5" t="e">
        <f>项目资本金现金流量表!U21</f>
        <v>#VALUE!</v>
      </c>
      <c r="T6" s="5" t="e">
        <f>项目资本金现金流量表!V21</f>
        <v>#VALUE!</v>
      </c>
      <c r="U6" s="5" t="e">
        <f>项目资本金现金流量表!W21</f>
        <v>#VALUE!</v>
      </c>
      <c r="V6" s="5" t="e">
        <f>项目资本金现金流量表!X21</f>
        <v>#VALUE!</v>
      </c>
      <c r="W6" s="5" t="e">
        <f>项目资本金现金流量表!Y21</f>
        <v>#VALUE!</v>
      </c>
      <c r="X6" s="5" t="e">
        <f>项目资本金现金流量表!Z21</f>
        <v>#VALUE!</v>
      </c>
      <c r="Y6" s="5" t="e">
        <f>项目资本金现金流量表!AA21</f>
        <v>#VALUE!</v>
      </c>
      <c r="Z6" s="5" t="e">
        <f>项目资本金现金流量表!AB21</f>
        <v>#VALUE!</v>
      </c>
      <c r="AA6" s="5" t="e">
        <f>项目资本金现金流量表!AC21</f>
        <v>#VALUE!</v>
      </c>
    </row>
    <row r="7" ht="17.25" customHeight="1" spans="1:27">
      <c r="A7" s="6" t="s">
        <v>673</v>
      </c>
      <c r="B7" s="5">
        <f>EVA测算表!D12</f>
        <v>0</v>
      </c>
      <c r="C7" s="5" t="e">
        <f>EVA测算表!E12</f>
        <v>#VALUE!</v>
      </c>
      <c r="D7" s="5" t="e">
        <f>EVA测算表!F12</f>
        <v>#VALUE!</v>
      </c>
      <c r="E7" s="5" t="e">
        <f>EVA测算表!G12</f>
        <v>#VALUE!</v>
      </c>
      <c r="F7" s="5" t="e">
        <f>EVA测算表!H12</f>
        <v>#VALUE!</v>
      </c>
      <c r="G7" s="5" t="e">
        <f>EVA测算表!I12</f>
        <v>#VALUE!</v>
      </c>
      <c r="H7" s="5" t="e">
        <f>EVA测算表!J12</f>
        <v>#VALUE!</v>
      </c>
      <c r="I7" s="5" t="e">
        <f>EVA测算表!K12</f>
        <v>#VALUE!</v>
      </c>
      <c r="J7" s="5" t="e">
        <f>EVA测算表!L12</f>
        <v>#VALUE!</v>
      </c>
      <c r="K7" s="5" t="e">
        <f>EVA测算表!M12</f>
        <v>#VALUE!</v>
      </c>
      <c r="L7" s="5" t="e">
        <f>EVA测算表!N12</f>
        <v>#VALUE!</v>
      </c>
      <c r="M7" s="5" t="e">
        <f>EVA测算表!O12</f>
        <v>#VALUE!</v>
      </c>
      <c r="N7" s="5" t="e">
        <f>EVA测算表!P12</f>
        <v>#VALUE!</v>
      </c>
      <c r="O7" s="5" t="e">
        <f>EVA测算表!Q12</f>
        <v>#VALUE!</v>
      </c>
      <c r="P7" s="5" t="e">
        <f>EVA测算表!R12</f>
        <v>#VALUE!</v>
      </c>
      <c r="Q7" s="5" t="e">
        <f>EVA测算表!S12</f>
        <v>#VALUE!</v>
      </c>
      <c r="R7" s="5" t="e">
        <f>EVA测算表!T12</f>
        <v>#VALUE!</v>
      </c>
      <c r="S7" s="5" t="e">
        <f>EVA测算表!U12</f>
        <v>#VALUE!</v>
      </c>
      <c r="T7" s="5" t="e">
        <f>EVA测算表!V12</f>
        <v>#VALUE!</v>
      </c>
      <c r="U7" s="5" t="e">
        <f>EVA测算表!W12</f>
        <v>#VALUE!</v>
      </c>
      <c r="V7" s="5" t="e">
        <f>EVA测算表!X12</f>
        <v>#VALUE!</v>
      </c>
      <c r="W7" s="5" t="e">
        <f>EVA测算表!Y12</f>
        <v>#VALUE!</v>
      </c>
      <c r="X7" s="5" t="e">
        <f>EVA测算表!Z12</f>
        <v>#VALUE!</v>
      </c>
      <c r="Y7" s="5" t="e">
        <f>EVA测算表!AA12</f>
        <v>#VALUE!</v>
      </c>
      <c r="Z7" s="5" t="e">
        <f>EVA测算表!AB12</f>
        <v>#VALUE!</v>
      </c>
      <c r="AA7" s="5" t="e">
        <f>EVA测算表!AC12</f>
        <v>#VALUE!</v>
      </c>
    </row>
    <row r="8" ht="17.25" customHeight="1" spans="1:27">
      <c r="A8" s="6" t="s">
        <v>674</v>
      </c>
      <c r="B8" s="8">
        <f>资产负债表!C29</f>
        <v>0</v>
      </c>
      <c r="C8" s="5" t="e">
        <f>资产负债表!D29</f>
        <v>#VALUE!</v>
      </c>
      <c r="D8" s="5" t="e">
        <f>资产负债表!E29</f>
        <v>#VALUE!</v>
      </c>
      <c r="E8" s="5" t="e">
        <f>资产负债表!F29</f>
        <v>#VALUE!</v>
      </c>
      <c r="F8" s="5" t="e">
        <f>资产负债表!G29</f>
        <v>#VALUE!</v>
      </c>
      <c r="G8" s="5" t="e">
        <f>资产负债表!H29</f>
        <v>#VALUE!</v>
      </c>
      <c r="H8" s="5" t="e">
        <f>资产负债表!I29</f>
        <v>#VALUE!</v>
      </c>
      <c r="I8" s="5" t="e">
        <f>资产负债表!J29</f>
        <v>#VALUE!</v>
      </c>
      <c r="J8" s="5" t="e">
        <f>资产负债表!K29</f>
        <v>#VALUE!</v>
      </c>
      <c r="K8" s="5" t="e">
        <f>资产负债表!L29</f>
        <v>#VALUE!</v>
      </c>
      <c r="L8" s="5" t="e">
        <f>资产负债表!M29</f>
        <v>#VALUE!</v>
      </c>
      <c r="M8" s="5" t="e">
        <f>资产负债表!N29</f>
        <v>#VALUE!</v>
      </c>
      <c r="N8" s="5" t="e">
        <f>资产负债表!O29</f>
        <v>#VALUE!</v>
      </c>
      <c r="O8" s="5" t="e">
        <f>资产负债表!P29</f>
        <v>#VALUE!</v>
      </c>
      <c r="P8" s="5" t="e">
        <f>资产负债表!Q29</f>
        <v>#VALUE!</v>
      </c>
      <c r="Q8" s="5" t="e">
        <f>资产负债表!R29</f>
        <v>#VALUE!</v>
      </c>
      <c r="R8" s="5" t="e">
        <f>资产负债表!S29</f>
        <v>#VALUE!</v>
      </c>
      <c r="S8" s="5" t="e">
        <f>资产负债表!T29</f>
        <v>#VALUE!</v>
      </c>
      <c r="T8" s="5" t="e">
        <f>资产负债表!U29</f>
        <v>#VALUE!</v>
      </c>
      <c r="U8" s="5" t="e">
        <f>资产负债表!V29</f>
        <v>#VALUE!</v>
      </c>
      <c r="V8" s="5" t="e">
        <f>资产负债表!W29</f>
        <v>#VALUE!</v>
      </c>
      <c r="W8" s="5" t="e">
        <f>资产负债表!X29</f>
        <v>#VALUE!</v>
      </c>
      <c r="X8" s="5" t="e">
        <f>资产负债表!Y29</f>
        <v>#VALUE!</v>
      </c>
      <c r="Y8" s="5" t="e">
        <f>资产负债表!Z29</f>
        <v>#VALUE!</v>
      </c>
      <c r="Z8" s="5" t="e">
        <f>资产负债表!AA29</f>
        <v>#VALUE!</v>
      </c>
      <c r="AA8" s="5" t="e">
        <f>资产负债表!AB29</f>
        <v>#VALUE!</v>
      </c>
    </row>
    <row r="9" ht="17.25" customHeight="1"/>
    <row r="10" ht="17.25" customHeight="1" spans="1:27">
      <c r="A10" s="9" t="s">
        <v>675</v>
      </c>
    </row>
    <row r="11" ht="17.25" customHeight="1" spans="1:27">
      <c r="A11" s="1" t="s">
        <v>676</v>
      </c>
    </row>
    <row r="12" ht="17.25" customHeight="1" spans="1:27">
      <c r="A12" s="1" t="s">
        <v>677</v>
      </c>
    </row>
    <row r="13" ht="17.25" customHeight="1" spans="1:27">
      <c r="A13" s="1" t="s">
        <v>678</v>
      </c>
    </row>
    <row r="14" ht="17.25" customHeight="1" spans="1:27">
      <c r="A14" s="1" t="s">
        <v>679</v>
      </c>
    </row>
    <row r="15" ht="17.25" customHeight="1"/>
    <row r="16" ht="17.25" customHeight="1"/>
    <row r="17" ht="17.25" customHeight="1" spans="1:27">
      <c r="A17" s="10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  <c r="N17" s="7">
        <v>13</v>
      </c>
      <c r="O17" s="7">
        <v>14</v>
      </c>
      <c r="P17" s="7">
        <v>15</v>
      </c>
      <c r="Q17" s="7">
        <v>16</v>
      </c>
      <c r="R17" s="7">
        <v>17</v>
      </c>
      <c r="S17" s="7">
        <v>18</v>
      </c>
      <c r="T17" s="7">
        <v>19</v>
      </c>
      <c r="U17" s="7">
        <v>20</v>
      </c>
      <c r="V17" s="7">
        <v>21</v>
      </c>
      <c r="W17" s="7">
        <v>22</v>
      </c>
      <c r="X17" s="7">
        <v>23</v>
      </c>
      <c r="Y17" s="7">
        <v>24</v>
      </c>
      <c r="Z17" s="7">
        <v>25</v>
      </c>
      <c r="AA17" s="7">
        <v>26</v>
      </c>
    </row>
    <row r="18" ht="17.25" customHeight="1" spans="1:27">
      <c r="A18" s="11" t="s">
        <v>680</v>
      </c>
      <c r="B18" s="8">
        <f t="shared" ref="B18:AA18" si="0">1/(1+$B$19)^(B17-1)</f>
        <v>1</v>
      </c>
      <c r="C18" s="8">
        <f t="shared" si="0"/>
        <v>0.968147933004163</v>
      </c>
      <c r="D18" s="8">
        <f t="shared" si="0"/>
        <v>0.937310420180233</v>
      </c>
      <c r="E18" s="8">
        <f t="shared" si="0"/>
        <v>0.907455145880757</v>
      </c>
      <c r="F18" s="8">
        <f t="shared" si="0"/>
        <v>0.878550823778446</v>
      </c>
      <c r="G18" s="8">
        <f t="shared" si="0"/>
        <v>0.850567164080207</v>
      </c>
      <c r="H18" s="8">
        <f t="shared" si="0"/>
        <v>0.823474841785465</v>
      </c>
      <c r="I18" s="8">
        <f t="shared" si="0"/>
        <v>0.797245465955528</v>
      </c>
      <c r="J18" s="8">
        <f t="shared" si="0"/>
        <v>0.771851549961786</v>
      </c>
      <c r="K18" s="8">
        <f t="shared" si="0"/>
        <v>0.747266482681562</v>
      </c>
      <c r="L18" s="8">
        <f t="shared" si="0"/>
        <v>0.723464500611446</v>
      </c>
      <c r="M18" s="8">
        <f t="shared" si="0"/>
        <v>0.70042066086886</v>
      </c>
      <c r="N18" s="8">
        <f t="shared" si="0"/>
        <v>0.678110815053597</v>
      </c>
      <c r="O18" s="8">
        <f t="shared" si="0"/>
        <v>0.656511583941908</v>
      </c>
      <c r="P18" s="8">
        <f t="shared" si="0"/>
        <v>0.635600332986648</v>
      </c>
      <c r="Q18" s="8">
        <f t="shared" si="0"/>
        <v>0.615355148597781</v>
      </c>
      <c r="R18" s="8">
        <f t="shared" si="0"/>
        <v>0.595754815178411</v>
      </c>
      <c r="S18" s="8">
        <f t="shared" si="0"/>
        <v>0.576778792892256</v>
      </c>
      <c r="T18" s="8">
        <f t="shared" si="0"/>
        <v>0.558407196139274</v>
      </c>
      <c r="U18" s="8">
        <f t="shared" si="0"/>
        <v>0.540620772716888</v>
      </c>
      <c r="V18" s="8">
        <f t="shared" si="0"/>
        <v>0.523400883644969</v>
      </c>
      <c r="W18" s="8">
        <f t="shared" si="0"/>
        <v>0.506729483633429</v>
      </c>
      <c r="X18" s="8">
        <f t="shared" si="0"/>
        <v>0.490589102171971</v>
      </c>
      <c r="Y18" s="8">
        <f t="shared" si="0"/>
        <v>0.474962825222162</v>
      </c>
      <c r="Z18" s="8">
        <f t="shared" si="0"/>
        <v>0.459834277492654</v>
      </c>
      <c r="AA18" s="8">
        <f t="shared" si="0"/>
        <v>0.445187605278976</v>
      </c>
    </row>
    <row r="19" ht="17.25" customHeight="1" spans="1:27">
      <c r="A19" s="6" t="s">
        <v>681</v>
      </c>
      <c r="B19" s="8">
        <f>基本参数!B25%</f>
        <v>0.0329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7.25" customHeight="1" spans="1:27">
      <c r="A20" s="6" t="s">
        <v>682</v>
      </c>
      <c r="B20" s="5">
        <f>总成本费用表!D21</f>
        <v>0</v>
      </c>
      <c r="C20" s="5" t="e">
        <f>总成本费用表!E21</f>
        <v>#REF!</v>
      </c>
      <c r="D20" s="5" t="e">
        <f>总成本费用表!F21</f>
        <v>#REF!</v>
      </c>
      <c r="E20" s="5" t="e">
        <f>总成本费用表!G21</f>
        <v>#REF!</v>
      </c>
      <c r="F20" s="5" t="e">
        <f>总成本费用表!H21</f>
        <v>#REF!</v>
      </c>
      <c r="G20" s="5" t="e">
        <f>总成本费用表!I21</f>
        <v>#REF!</v>
      </c>
      <c r="H20" s="5" t="e">
        <f>总成本费用表!J21</f>
        <v>#REF!</v>
      </c>
      <c r="I20" s="5" t="e">
        <f>总成本费用表!K21</f>
        <v>#REF!</v>
      </c>
      <c r="J20" s="5" t="e">
        <f>总成本费用表!L21</f>
        <v>#REF!</v>
      </c>
      <c r="K20" s="5" t="e">
        <f>总成本费用表!M21</f>
        <v>#REF!</v>
      </c>
      <c r="L20" s="5" t="e">
        <f>总成本费用表!N21</f>
        <v>#REF!</v>
      </c>
      <c r="M20" s="5" t="e">
        <f>总成本费用表!O21</f>
        <v>#REF!</v>
      </c>
      <c r="N20" s="5" t="e">
        <f>总成本费用表!P21</f>
        <v>#REF!</v>
      </c>
      <c r="O20" s="5" t="e">
        <f>总成本费用表!Q21</f>
        <v>#REF!</v>
      </c>
      <c r="P20" s="5" t="e">
        <f>总成本费用表!R21</f>
        <v>#REF!</v>
      </c>
      <c r="Q20" s="5" t="e">
        <f>总成本费用表!S21</f>
        <v>#REF!</v>
      </c>
      <c r="R20" s="5" t="e">
        <f>总成本费用表!T21</f>
        <v>#REF!</v>
      </c>
      <c r="S20" s="5" t="e">
        <f>总成本费用表!U21</f>
        <v>#REF!</v>
      </c>
      <c r="T20" s="5" t="e">
        <f>总成本费用表!V21</f>
        <v>#REF!</v>
      </c>
      <c r="U20" s="5" t="e">
        <f>总成本费用表!W21</f>
        <v>#REF!</v>
      </c>
      <c r="V20" s="5" t="e">
        <f>总成本费用表!X21</f>
        <v>#REF!</v>
      </c>
      <c r="W20" s="5" t="e">
        <f>总成本费用表!Y21</f>
        <v>#REF!</v>
      </c>
      <c r="X20" s="5" t="e">
        <f>总成本费用表!Z21</f>
        <v>#REF!</v>
      </c>
      <c r="Y20" s="5" t="e">
        <f>总成本费用表!AA21</f>
        <v>#REF!</v>
      </c>
      <c r="Z20" s="5" t="e">
        <f>总成本费用表!AB21</f>
        <v>#REF!</v>
      </c>
      <c r="AA20" s="5" t="e">
        <f>总成本费用表!AC21</f>
        <v>#REF!</v>
      </c>
    </row>
    <row r="21" ht="17.25" customHeight="1" spans="1:27">
      <c r="A21" s="6" t="s">
        <v>683</v>
      </c>
      <c r="B21" s="5">
        <f>利润与利润分配表!D33-利润与利润分配表!D37</f>
        <v>0</v>
      </c>
      <c r="C21" s="5" t="e">
        <f>利润与利润分配表!E33-利润与利润分配表!E37</f>
        <v>#VALUE!</v>
      </c>
      <c r="D21" s="5" t="e">
        <f>利润与利润分配表!F33-利润与利润分配表!F37</f>
        <v>#VALUE!</v>
      </c>
      <c r="E21" s="5" t="e">
        <f>利润与利润分配表!G33-利润与利润分配表!G37</f>
        <v>#VALUE!</v>
      </c>
      <c r="F21" s="5" t="e">
        <f>利润与利润分配表!H33-利润与利润分配表!H37</f>
        <v>#VALUE!</v>
      </c>
      <c r="G21" s="5" t="e">
        <f>利润与利润分配表!I33-利润与利润分配表!I37</f>
        <v>#VALUE!</v>
      </c>
      <c r="H21" s="5" t="e">
        <f>利润与利润分配表!J33-利润与利润分配表!J37</f>
        <v>#VALUE!</v>
      </c>
      <c r="I21" s="5" t="e">
        <f>利润与利润分配表!K33-利润与利润分配表!K37</f>
        <v>#VALUE!</v>
      </c>
      <c r="J21" s="5" t="e">
        <f>利润与利润分配表!L33-利润与利润分配表!L37</f>
        <v>#VALUE!</v>
      </c>
      <c r="K21" s="5" t="e">
        <f>利润与利润分配表!M33-利润与利润分配表!M37</f>
        <v>#VALUE!</v>
      </c>
      <c r="L21" s="5" t="e">
        <f>利润与利润分配表!N33-利润与利润分配表!N37</f>
        <v>#VALUE!</v>
      </c>
      <c r="M21" s="5" t="e">
        <f>利润与利润分配表!O33-利润与利润分配表!O37</f>
        <v>#VALUE!</v>
      </c>
      <c r="N21" s="5" t="e">
        <f>利润与利润分配表!P33-利润与利润分配表!P37</f>
        <v>#VALUE!</v>
      </c>
      <c r="O21" s="5" t="e">
        <f>利润与利润分配表!Q33-利润与利润分配表!Q37</f>
        <v>#VALUE!</v>
      </c>
      <c r="P21" s="5" t="e">
        <f>利润与利润分配表!R33-利润与利润分配表!R37</f>
        <v>#VALUE!</v>
      </c>
      <c r="Q21" s="5" t="e">
        <f>利润与利润分配表!S33-利润与利润分配表!S37</f>
        <v>#VALUE!</v>
      </c>
      <c r="R21" s="5" t="e">
        <f>利润与利润分配表!T33-利润与利润分配表!T37</f>
        <v>#VALUE!</v>
      </c>
      <c r="S21" s="5" t="e">
        <f>利润与利润分配表!U33-利润与利润分配表!U37</f>
        <v>#VALUE!</v>
      </c>
      <c r="T21" s="5" t="e">
        <f>利润与利润分配表!V33-利润与利润分配表!V37</f>
        <v>#VALUE!</v>
      </c>
      <c r="U21" s="5" t="e">
        <f>利润与利润分配表!W33-利润与利润分配表!W37</f>
        <v>#VALUE!</v>
      </c>
      <c r="V21" s="5" t="e">
        <f>利润与利润分配表!X33-利润与利润分配表!X37</f>
        <v>#VALUE!</v>
      </c>
      <c r="W21" s="5" t="e">
        <f>利润与利润分配表!Y33-利润与利润分配表!Y37</f>
        <v>#VALUE!</v>
      </c>
      <c r="X21" s="5" t="e">
        <f>利润与利润分配表!Z33-利润与利润分配表!Z37</f>
        <v>#VALUE!</v>
      </c>
      <c r="Y21" s="5" t="e">
        <f>利润与利润分配表!AA33-利润与利润分配表!AA37</f>
        <v>#VALUE!</v>
      </c>
      <c r="Z21" s="5" t="e">
        <f>利润与利润分配表!AB33-利润与利润分配表!AB37</f>
        <v>#VALUE!</v>
      </c>
      <c r="AA21" s="5" t="e">
        <f>利润与利润分配表!AC33-利润与利润分配表!AC37</f>
        <v>#VALUE!</v>
      </c>
    </row>
    <row r="22" ht="17.25" customHeight="1" spans="1:27">
      <c r="A22" s="6" t="s">
        <v>684</v>
      </c>
      <c r="B22" s="5"/>
      <c r="C22" s="5">
        <f>项目资本金现金流量表!E9</f>
        <v>0</v>
      </c>
      <c r="D22" s="5">
        <f>项目资本金现金流量表!F9</f>
        <v>0</v>
      </c>
      <c r="E22" s="5">
        <f>项目资本金现金流量表!G9</f>
        <v>0</v>
      </c>
      <c r="F22" s="5">
        <f>项目资本金现金流量表!H9</f>
        <v>0</v>
      </c>
      <c r="G22" s="5">
        <f>项目资本金现金流量表!I9</f>
        <v>0</v>
      </c>
      <c r="H22" s="5">
        <f>项目资本金现金流量表!J9</f>
        <v>0</v>
      </c>
      <c r="I22" s="5">
        <f>项目资本金现金流量表!K9</f>
        <v>0</v>
      </c>
      <c r="J22" s="5">
        <f>项目资本金现金流量表!L9</f>
        <v>0</v>
      </c>
      <c r="K22" s="5">
        <f>项目资本金现金流量表!M9</f>
        <v>0</v>
      </c>
      <c r="L22" s="5">
        <f>项目资本金现金流量表!N9</f>
        <v>0</v>
      </c>
      <c r="M22" s="5">
        <f>项目资本金现金流量表!O9</f>
        <v>0</v>
      </c>
      <c r="N22" s="5">
        <f>项目资本金现金流量表!P9</f>
        <v>0</v>
      </c>
      <c r="O22" s="5">
        <f>项目资本金现金流量表!Q9</f>
        <v>0</v>
      </c>
      <c r="P22" s="5">
        <f>项目资本金现金流量表!R9</f>
        <v>0</v>
      </c>
      <c r="Q22" s="5">
        <f>项目资本金现金流量表!S9</f>
        <v>0</v>
      </c>
      <c r="R22" s="5">
        <f>项目资本金现金流量表!T9</f>
        <v>0</v>
      </c>
      <c r="S22" s="5">
        <f>项目资本金现金流量表!U9</f>
        <v>0</v>
      </c>
      <c r="T22" s="5">
        <f>项目资本金现金流量表!V9</f>
        <v>0</v>
      </c>
      <c r="U22" s="5">
        <f>项目资本金现金流量表!W9</f>
        <v>0</v>
      </c>
      <c r="V22" s="5">
        <f>项目资本金现金流量表!X9</f>
        <v>0</v>
      </c>
      <c r="W22" s="5">
        <f>项目资本金现金流量表!Y9</f>
        <v>0</v>
      </c>
      <c r="X22" s="5">
        <f>项目资本金现金流量表!Z9</f>
        <v>0</v>
      </c>
      <c r="Y22" s="5">
        <f>项目资本金现金流量表!AA9</f>
        <v>0</v>
      </c>
      <c r="Z22" s="5">
        <f>项目资本金现金流量表!AB9</f>
        <v>0</v>
      </c>
      <c r="AA22" s="5">
        <f>项目资本金现金流量表!AC9</f>
        <v>0</v>
      </c>
    </row>
    <row r="23" ht="17.25" customHeight="1" spans="1:27">
      <c r="A23" s="6" t="s">
        <v>685</v>
      </c>
      <c r="B23" s="5">
        <f>项目投资现金流量表!D12</f>
        <v>0</v>
      </c>
      <c r="C23" s="5">
        <f>项目投资现金流量表!E12</f>
        <v>0</v>
      </c>
      <c r="D23" s="5">
        <f>项目投资现金流量表!F12</f>
        <v>0</v>
      </c>
      <c r="E23" s="5">
        <f>项目投资现金流量表!G12</f>
        <v>0</v>
      </c>
      <c r="F23" s="5">
        <f>项目投资现金流量表!H12</f>
        <v>0</v>
      </c>
      <c r="G23" s="5">
        <f>项目投资现金流量表!I12</f>
        <v>0</v>
      </c>
      <c r="H23" s="5">
        <f>项目投资现金流量表!J12</f>
        <v>0</v>
      </c>
      <c r="I23" s="5">
        <f>项目投资现金流量表!K12</f>
        <v>0</v>
      </c>
      <c r="J23" s="5">
        <f>项目投资现金流量表!L12</f>
        <v>0</v>
      </c>
      <c r="K23" s="5">
        <f>项目投资现金流量表!M12</f>
        <v>0</v>
      </c>
      <c r="L23" s="5">
        <f>项目投资现金流量表!N12</f>
        <v>0</v>
      </c>
      <c r="M23" s="5">
        <f>项目投资现金流量表!O12</f>
        <v>0</v>
      </c>
      <c r="N23" s="5">
        <f>项目投资现金流量表!P12</f>
        <v>0</v>
      </c>
      <c r="O23" s="5">
        <f>项目投资现金流量表!Q12</f>
        <v>0</v>
      </c>
      <c r="P23" s="5">
        <f>项目投资现金流量表!R12</f>
        <v>0</v>
      </c>
      <c r="Q23" s="5">
        <f>项目投资现金流量表!S12</f>
        <v>0</v>
      </c>
      <c r="R23" s="5">
        <f>项目投资现金流量表!T12</f>
        <v>0</v>
      </c>
      <c r="S23" s="5">
        <f>项目投资现金流量表!U12</f>
        <v>0</v>
      </c>
      <c r="T23" s="5">
        <f>项目投资现金流量表!V12</f>
        <v>0</v>
      </c>
      <c r="U23" s="5">
        <f>项目投资现金流量表!W12</f>
        <v>0</v>
      </c>
      <c r="V23" s="5">
        <f>项目投资现金流量表!X12</f>
        <v>0</v>
      </c>
      <c r="W23" s="5">
        <f>项目投资现金流量表!Y12</f>
        <v>0</v>
      </c>
      <c r="X23" s="5">
        <f>项目投资现金流量表!Z12</f>
        <v>0</v>
      </c>
      <c r="Y23" s="5">
        <f>项目投资现金流量表!AA12</f>
        <v>0</v>
      </c>
      <c r="Z23" s="5">
        <f>项目投资现金流量表!AB12</f>
        <v>0</v>
      </c>
      <c r="AA23" s="5">
        <f>项目投资现金流量表!AC12</f>
        <v>0</v>
      </c>
    </row>
    <row r="24" ht="17.25" customHeight="1" spans="1:27">
      <c r="A24" s="6" t="s">
        <v>401</v>
      </c>
      <c r="B24" s="5">
        <f>利润与利润分配表!D5</f>
        <v>0</v>
      </c>
      <c r="C24" s="5" t="e">
        <f>利润与利润分配表!E5</f>
        <v>#VALUE!</v>
      </c>
      <c r="D24" s="5" t="e">
        <f>利润与利润分配表!F5</f>
        <v>#VALUE!</v>
      </c>
      <c r="E24" s="5" t="e">
        <f>利润与利润分配表!G5</f>
        <v>#VALUE!</v>
      </c>
      <c r="F24" s="5" t="e">
        <f>利润与利润分配表!H5</f>
        <v>#VALUE!</v>
      </c>
      <c r="G24" s="5" t="e">
        <f>利润与利润分配表!I5</f>
        <v>#VALUE!</v>
      </c>
      <c r="H24" s="5" t="e">
        <f>利润与利润分配表!J5</f>
        <v>#VALUE!</v>
      </c>
      <c r="I24" s="5" t="e">
        <f>利润与利润分配表!K5</f>
        <v>#VALUE!</v>
      </c>
      <c r="J24" s="5" t="e">
        <f>利润与利润分配表!L5</f>
        <v>#VALUE!</v>
      </c>
      <c r="K24" s="5" t="e">
        <f>利润与利润分配表!M5</f>
        <v>#VALUE!</v>
      </c>
      <c r="L24" s="5" t="e">
        <f>利润与利润分配表!N5</f>
        <v>#VALUE!</v>
      </c>
      <c r="M24" s="5" t="e">
        <f>利润与利润分配表!O5</f>
        <v>#VALUE!</v>
      </c>
      <c r="N24" s="5" t="e">
        <f>利润与利润分配表!P5</f>
        <v>#VALUE!</v>
      </c>
      <c r="O24" s="5" t="e">
        <f>利润与利润分配表!Q5</f>
        <v>#VALUE!</v>
      </c>
      <c r="P24" s="5" t="e">
        <f>利润与利润分配表!R5</f>
        <v>#VALUE!</v>
      </c>
      <c r="Q24" s="5" t="e">
        <f>利润与利润分配表!S5</f>
        <v>#VALUE!</v>
      </c>
      <c r="R24" s="5" t="e">
        <f>利润与利润分配表!T5</f>
        <v>#VALUE!</v>
      </c>
      <c r="S24" s="5" t="e">
        <f>利润与利润分配表!U5</f>
        <v>#VALUE!</v>
      </c>
      <c r="T24" s="5" t="e">
        <f>利润与利润分配表!V5</f>
        <v>#VALUE!</v>
      </c>
      <c r="U24" s="5" t="e">
        <f>利润与利润分配表!W5</f>
        <v>#VALUE!</v>
      </c>
      <c r="V24" s="5" t="e">
        <f>利润与利润分配表!X5</f>
        <v>#VALUE!</v>
      </c>
      <c r="W24" s="5" t="e">
        <f>利润与利润分配表!Y5</f>
        <v>#VALUE!</v>
      </c>
      <c r="X24" s="5" t="e">
        <f>利润与利润分配表!Z5</f>
        <v>#VALUE!</v>
      </c>
      <c r="Y24" s="5" t="e">
        <f>利润与利润分配表!AA5</f>
        <v>#VALUE!</v>
      </c>
      <c r="Z24" s="5" t="e">
        <f>利润与利润分配表!AB5</f>
        <v>#VALUE!</v>
      </c>
      <c r="AA24" s="5" t="e">
        <f>利润与利润分配表!AC5</f>
        <v>#VALUE!</v>
      </c>
    </row>
    <row r="25" ht="17.25" customHeight="1" spans="1:27">
      <c r="A25" s="6" t="s">
        <v>686</v>
      </c>
      <c r="B25" s="5">
        <f t="shared" ref="B25:AA25" si="1">(B23-B21+B20-B22)*B18</f>
        <v>0</v>
      </c>
      <c r="C25" s="5" t="e">
        <f t="shared" si="1"/>
        <v>#VALUE!</v>
      </c>
      <c r="D25" s="5" t="e">
        <f t="shared" si="1"/>
        <v>#VALUE!</v>
      </c>
      <c r="E25" s="5" t="e">
        <f t="shared" si="1"/>
        <v>#VALUE!</v>
      </c>
      <c r="F25" s="5" t="e">
        <f t="shared" si="1"/>
        <v>#VALUE!</v>
      </c>
      <c r="G25" s="5" t="e">
        <f t="shared" si="1"/>
        <v>#VALUE!</v>
      </c>
      <c r="H25" s="5" t="e">
        <f t="shared" si="1"/>
        <v>#VALUE!</v>
      </c>
      <c r="I25" s="5" t="e">
        <f t="shared" si="1"/>
        <v>#VALUE!</v>
      </c>
      <c r="J25" s="5" t="e">
        <f t="shared" si="1"/>
        <v>#VALUE!</v>
      </c>
      <c r="K25" s="5" t="e">
        <f t="shared" si="1"/>
        <v>#VALUE!</v>
      </c>
      <c r="L25" s="5" t="e">
        <f t="shared" si="1"/>
        <v>#VALUE!</v>
      </c>
      <c r="M25" s="5" t="e">
        <f t="shared" si="1"/>
        <v>#VALUE!</v>
      </c>
      <c r="N25" s="5" t="e">
        <f t="shared" si="1"/>
        <v>#VALUE!</v>
      </c>
      <c r="O25" s="5" t="e">
        <f t="shared" si="1"/>
        <v>#VALUE!</v>
      </c>
      <c r="P25" s="5" t="e">
        <f t="shared" si="1"/>
        <v>#VALUE!</v>
      </c>
      <c r="Q25" s="5" t="e">
        <f t="shared" si="1"/>
        <v>#VALUE!</v>
      </c>
      <c r="R25" s="5" t="e">
        <f t="shared" si="1"/>
        <v>#VALUE!</v>
      </c>
      <c r="S25" s="5" t="e">
        <f t="shared" si="1"/>
        <v>#VALUE!</v>
      </c>
      <c r="T25" s="5" t="e">
        <f t="shared" si="1"/>
        <v>#VALUE!</v>
      </c>
      <c r="U25" s="5" t="e">
        <f t="shared" si="1"/>
        <v>#VALUE!</v>
      </c>
      <c r="V25" s="5" t="e">
        <f t="shared" si="1"/>
        <v>#VALUE!</v>
      </c>
      <c r="W25" s="5" t="e">
        <f t="shared" si="1"/>
        <v>#VALUE!</v>
      </c>
      <c r="X25" s="5" t="e">
        <f t="shared" si="1"/>
        <v>#VALUE!</v>
      </c>
      <c r="Y25" s="5" t="e">
        <f t="shared" si="1"/>
        <v>#VALUE!</v>
      </c>
      <c r="Z25" s="5" t="e">
        <f t="shared" si="1"/>
        <v>#VALUE!</v>
      </c>
      <c r="AA25" s="5" t="e">
        <f t="shared" si="1"/>
        <v>#VALUE!</v>
      </c>
    </row>
    <row r="26" ht="17.25" customHeight="1" spans="1:27">
      <c r="A26" s="6" t="s">
        <v>687</v>
      </c>
      <c r="B26" s="5">
        <f t="shared" ref="B26:AA26" si="2">B24*B18</f>
        <v>0</v>
      </c>
      <c r="C26" s="5" t="e">
        <f t="shared" si="2"/>
        <v>#VALUE!</v>
      </c>
      <c r="D26" s="5" t="e">
        <f t="shared" si="2"/>
        <v>#VALUE!</v>
      </c>
      <c r="E26" s="5" t="e">
        <f t="shared" si="2"/>
        <v>#VALUE!</v>
      </c>
      <c r="F26" s="5" t="e">
        <f t="shared" si="2"/>
        <v>#VALUE!</v>
      </c>
      <c r="G26" s="5" t="e">
        <f t="shared" si="2"/>
        <v>#VALUE!</v>
      </c>
      <c r="H26" s="5" t="e">
        <f t="shared" si="2"/>
        <v>#VALUE!</v>
      </c>
      <c r="I26" s="5" t="e">
        <f t="shared" si="2"/>
        <v>#VALUE!</v>
      </c>
      <c r="J26" s="5" t="e">
        <f t="shared" si="2"/>
        <v>#VALUE!</v>
      </c>
      <c r="K26" s="5" t="e">
        <f t="shared" si="2"/>
        <v>#VALUE!</v>
      </c>
      <c r="L26" s="5" t="e">
        <f t="shared" si="2"/>
        <v>#VALUE!</v>
      </c>
      <c r="M26" s="5" t="e">
        <f t="shared" si="2"/>
        <v>#VALUE!</v>
      </c>
      <c r="N26" s="5" t="e">
        <f t="shared" si="2"/>
        <v>#VALUE!</v>
      </c>
      <c r="O26" s="5" t="e">
        <f t="shared" si="2"/>
        <v>#VALUE!</v>
      </c>
      <c r="P26" s="5" t="e">
        <f t="shared" si="2"/>
        <v>#VALUE!</v>
      </c>
      <c r="Q26" s="5" t="e">
        <f t="shared" si="2"/>
        <v>#VALUE!</v>
      </c>
      <c r="R26" s="5" t="e">
        <f t="shared" si="2"/>
        <v>#VALUE!</v>
      </c>
      <c r="S26" s="5" t="e">
        <f t="shared" si="2"/>
        <v>#VALUE!</v>
      </c>
      <c r="T26" s="5" t="e">
        <f t="shared" si="2"/>
        <v>#VALUE!</v>
      </c>
      <c r="U26" s="5" t="e">
        <f t="shared" si="2"/>
        <v>#VALUE!</v>
      </c>
      <c r="V26" s="5" t="e">
        <f t="shared" si="2"/>
        <v>#VALUE!</v>
      </c>
      <c r="W26" s="5" t="e">
        <f t="shared" si="2"/>
        <v>#VALUE!</v>
      </c>
      <c r="X26" s="5" t="e">
        <f t="shared" si="2"/>
        <v>#VALUE!</v>
      </c>
      <c r="Y26" s="5" t="e">
        <f t="shared" si="2"/>
        <v>#VALUE!</v>
      </c>
      <c r="Z26" s="5" t="e">
        <f t="shared" si="2"/>
        <v>#VALUE!</v>
      </c>
      <c r="AA26" s="5" t="e">
        <f t="shared" si="2"/>
        <v>#VALUE!</v>
      </c>
    </row>
    <row r="27" ht="17.25" customHeight="1" spans="1:27">
      <c r="A27" s="6" t="s">
        <v>688</v>
      </c>
      <c r="B27" s="5" t="e">
        <f>SUM(B25:AA25)/(SUM(B26:AA26))*10</f>
        <v>#VALUE!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12"/>
      <c r="X27" s="12"/>
      <c r="Y27" s="12"/>
      <c r="Z27" s="12"/>
      <c r="AA27" s="1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Macintosh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基本信息</vt:lpstr>
      <vt:lpstr>地区辅助页</vt:lpstr>
      <vt:lpstr>成本费用取值表</vt:lpstr>
      <vt:lpstr>电价电量取值表</vt:lpstr>
      <vt:lpstr>基本参数</vt:lpstr>
      <vt:lpstr>成本费用</vt:lpstr>
      <vt:lpstr>收入和税金</vt:lpstr>
      <vt:lpstr>电价电量计算表</vt:lpstr>
      <vt:lpstr>投资计划与资金筹措表</vt:lpstr>
      <vt:lpstr>总成本费用表</vt:lpstr>
      <vt:lpstr>借款还本付息计划表</vt:lpstr>
      <vt:lpstr>利润与利润分配表</vt:lpstr>
      <vt:lpstr>财务计划现金流量表</vt:lpstr>
      <vt:lpstr>项目投资现金流量表</vt:lpstr>
      <vt:lpstr>项目资本金现金流量表</vt:lpstr>
      <vt:lpstr>资产负债表</vt:lpstr>
      <vt:lpstr>EVA测算表</vt:lpstr>
      <vt:lpstr>财务指标一览表</vt:lpstr>
      <vt:lpstr>逐年财务指标一览表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刘泓尊</cp:lastModifiedBy>
  <dcterms:created xsi:type="dcterms:W3CDTF">2025-08-19T06:14:00Z</dcterms:created>
  <dcterms:modified xsi:type="dcterms:W3CDTF">2025-12-05T01:34:19Z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366BC2E8BF744C778C8CF6698227B518_12</vt:lpwstr>
  </property>
  <property fmtid="{D5CDD505-2E9C-101B-9397-08002B2CF9AE}" pid="3" name="KSOProductBuildVer">
    <vt:lpwstr>2052-12.1.0.23542</vt:lpwstr>
  </property>
</Properties>
</file>