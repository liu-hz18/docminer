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 activeTab="4"/>
  </bookViews>
  <sheets>
    <sheet name="01风电造价标准调整" sheetId="1" r:id="rId1"/>
    <sheet name="02基本方案" sheetId="2" r:id="rId2"/>
    <sheet name="03造价参考值" sheetId="3" r:id="rId3"/>
    <sheet name="04主要设备价格表" sheetId="4" r:id="rId4"/>
    <sheet name="输入信息" sheetId="5" r:id="rId5"/>
    <sheet name="集中式光伏造价标准调整（2025版）" sheetId="6" r:id="rId6"/>
    <sheet name="12基本方案（2025版）" sheetId="7" r:id="rId7"/>
    <sheet name="13造价参考值（2025版）" sheetId="8" r:id="rId8"/>
    <sheet name="14主要设备价格表（2025版）" sheetId="9" r:id="rId9"/>
  </sheets>
  <definedNames>
    <definedName name="_xlnm.Print_Area" localSheetId="0">'01风电造价标准调整'!$A$1:$L$85</definedName>
    <definedName name="_xlnm.Print_Area" localSheetId="5">'集中式光伏造价标准调整（2025版）'!$A$2:$H$49</definedName>
    <definedName name="_xlnm.Print_Titles" localSheetId="0">'01风电造价标准调整'!$1:$2</definedName>
    <definedName name="_xlnm.Print_Titles" localSheetId="2">'03造价参考值'!$1:$3</definedName>
    <definedName name="_xlnm.Print_Titles" localSheetId="7">'13造价参考值（2025版）'!$1:$2</definedName>
    <definedName name="_xlnm.Print_Titles" localSheetId="5">'集中式光伏造价标准调整（2025版）'!$2:$4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<sst xmlns="http://schemas.openxmlformats.org/spreadsheetml/2006/main" count="1346" uniqueCount="647">
  <si>
    <t>序号</t>
  </si>
  <si>
    <t>项目名称</t>
  </si>
  <si>
    <t>单位</t>
  </si>
  <si>
    <t>陆上风电（MW）</t>
  </si>
  <si>
    <t>海上风电（MW)</t>
  </si>
  <si>
    <t>造价调整值</t>
  </si>
  <si>
    <t>装机容量（MW）</t>
  </si>
  <si>
    <t>单位千瓦
动态投资</t>
  </si>
  <si>
    <t>可比投资</t>
  </si>
  <si>
    <t>可研动态（万元）</t>
  </si>
  <si>
    <t>基本方案标准值</t>
  </si>
  <si>
    <t>施工辅助工程</t>
  </si>
  <si>
    <t>平原</t>
  </si>
  <si>
    <t>元/kW</t>
  </si>
  <si>
    <t>——</t>
  </si>
  <si>
    <t>设备及安装工程</t>
  </si>
  <si>
    <t>山地</t>
  </si>
  <si>
    <t>建筑工程</t>
  </si>
  <si>
    <t>复杂山地</t>
  </si>
  <si>
    <t>其他费用</t>
  </si>
  <si>
    <t>辽宁、河北及山东区域</t>
  </si>
  <si>
    <t>基本预备费</t>
  </si>
  <si>
    <t>江苏、浙江区域</t>
  </si>
  <si>
    <t>建设期贷款利息</t>
  </si>
  <si>
    <t>福建、粤西区域</t>
  </si>
  <si>
    <t>利率</t>
  </si>
  <si>
    <t>粤西、广西及海南区域</t>
  </si>
  <si>
    <t>其他</t>
  </si>
  <si>
    <t>千瓦造价调整模块</t>
  </si>
  <si>
    <t>其他（建设期利息）</t>
  </si>
  <si>
    <t>风机设备价格调整</t>
  </si>
  <si>
    <t>2.1.1</t>
  </si>
  <si>
    <t>风机设备价格（含塔筒和锚栓）</t>
  </si>
  <si>
    <t>以实际价格替代（陆风设备2100元/kW，海风设备3500元/kW）</t>
  </si>
  <si>
    <t>风机建安费调整</t>
  </si>
  <si>
    <t>如机型不匹配参照相近机型</t>
  </si>
  <si>
    <t>38台10.5MW风电机组</t>
  </si>
  <si>
    <t>2.2.1</t>
  </si>
  <si>
    <t>6.x MW机组建安费</t>
  </si>
  <si>
    <t>2.2.2</t>
  </si>
  <si>
    <t>7.x MW机组建安费</t>
  </si>
  <si>
    <t>2.2.3</t>
  </si>
  <si>
    <t>8MW机组建安费</t>
  </si>
  <si>
    <t>2.2.4</t>
  </si>
  <si>
    <t>11MW机组建安费</t>
  </si>
  <si>
    <t>2.2.5</t>
  </si>
  <si>
    <t>12MW机组建安费</t>
  </si>
  <si>
    <t>2.2.6</t>
  </si>
  <si>
    <t>14MW机组建安费</t>
  </si>
  <si>
    <t>2.2.7</t>
  </si>
  <si>
    <t>16MW机组建安费</t>
  </si>
  <si>
    <t>塔筒建安费调整</t>
  </si>
  <si>
    <t>轮毂高度142m</t>
  </si>
  <si>
    <t>2.3.1</t>
  </si>
  <si>
    <t>钢塔筒轮毂高度100—120m</t>
  </si>
  <si>
    <t>万元/台</t>
  </si>
  <si>
    <t>2.3.2</t>
  </si>
  <si>
    <t>钢塔筒轮毂高度140m（含＞120m）</t>
  </si>
  <si>
    <t>2.3.3</t>
  </si>
  <si>
    <t>混塔轮毂高度140m</t>
  </si>
  <si>
    <t>2.3.4</t>
  </si>
  <si>
    <t>混塔轮毂高度160m</t>
  </si>
  <si>
    <t>风机基础建安费调整</t>
  </si>
  <si>
    <t>单桩基础无嵌岩，桩长79m</t>
  </si>
  <si>
    <t>2.4.1</t>
  </si>
  <si>
    <t>PHC管桩（桩径600mm）</t>
  </si>
  <si>
    <t>元/m</t>
  </si>
  <si>
    <t>2.4.2</t>
  </si>
  <si>
    <t>灌注桩（桩径800mm）</t>
  </si>
  <si>
    <t>2.4.3</t>
  </si>
  <si>
    <t>非嵌岩单桩（含材料费）</t>
  </si>
  <si>
    <t>2.4.4</t>
  </si>
  <si>
    <t>嵌岩单桩（含材料费）</t>
  </si>
  <si>
    <t>2.4.5</t>
  </si>
  <si>
    <t>导管架形式（含材料费）</t>
  </si>
  <si>
    <t>机组变电站调整</t>
  </si>
  <si>
    <t>2.5.1</t>
  </si>
  <si>
    <t>油变</t>
  </si>
  <si>
    <t>集电线路安装费调整</t>
  </si>
  <si>
    <t>根据线路实际长度调整</t>
  </si>
  <si>
    <t>2.6.1</t>
  </si>
  <si>
    <t>架空线路（铝导线）平原-单回</t>
  </si>
  <si>
    <t>元/km</t>
  </si>
  <si>
    <t>2.6.2</t>
  </si>
  <si>
    <t>架空线路（铝导线）山地-单回</t>
  </si>
  <si>
    <t>2.6.3</t>
  </si>
  <si>
    <t>架空线路（铝导线）复杂山地-单回</t>
  </si>
  <si>
    <t>2.6.4</t>
  </si>
  <si>
    <t>架空线路（铝导线）平原-双回</t>
  </si>
  <si>
    <t>2.6.5</t>
  </si>
  <si>
    <t>架空线路（铝导线）山地-双回</t>
  </si>
  <si>
    <t>2.6.6</t>
  </si>
  <si>
    <t>架空线路（铝导线）复杂山地-双回</t>
  </si>
  <si>
    <t>2.6.7</t>
  </si>
  <si>
    <t>地埋电缆（铜缆铜导线）平原</t>
  </si>
  <si>
    <t>2.6.8</t>
  </si>
  <si>
    <t>地埋电缆（铜缆铜导线）山地</t>
  </si>
  <si>
    <t>2.6.9</t>
  </si>
  <si>
    <t>地埋电缆（铜缆铜导线）复杂山地</t>
  </si>
  <si>
    <t>2.6.10</t>
  </si>
  <si>
    <t>地埋电缆（铝合金电缆）平原</t>
  </si>
  <si>
    <t>2.6.11</t>
  </si>
  <si>
    <t>地埋电缆（铝合金电缆）山地</t>
  </si>
  <si>
    <t>2.6.12</t>
  </si>
  <si>
    <t>地埋电缆（铝合金电缆）复杂山地</t>
  </si>
  <si>
    <t>2.6.13</t>
  </si>
  <si>
    <t>地埋电缆（铝电缆）平原</t>
  </si>
  <si>
    <t>2.6.14</t>
  </si>
  <si>
    <t>地埋电缆（铝电缆）山地</t>
  </si>
  <si>
    <t>2.6.15</t>
  </si>
  <si>
    <t>地埋电缆（铝电缆）复杂山地</t>
  </si>
  <si>
    <t>升压变电站调整</t>
  </si>
  <si>
    <t>2.7.1</t>
  </si>
  <si>
    <t>110kV</t>
  </si>
  <si>
    <t>2.7.2</t>
  </si>
  <si>
    <t>220kV</t>
  </si>
  <si>
    <t>2.7.3</t>
  </si>
  <si>
    <t>330kV</t>
  </si>
  <si>
    <t>交通工程调整</t>
  </si>
  <si>
    <t>根据道路实际长度调整</t>
  </si>
  <si>
    <t>实际</t>
  </si>
  <si>
    <t>2.8.1</t>
  </si>
  <si>
    <t>平原-新建</t>
  </si>
  <si>
    <t>标准值</t>
  </si>
  <si>
    <t>2.8.2</t>
  </si>
  <si>
    <t>山地-新建</t>
  </si>
  <si>
    <t>容量（MW）</t>
  </si>
  <si>
    <t>平原（km）</t>
  </si>
  <si>
    <t>山地（km）</t>
  </si>
  <si>
    <t>复杂山地（km）</t>
  </si>
  <si>
    <t>2.8.3</t>
  </si>
  <si>
    <t>复杂山地-新建</t>
  </si>
  <si>
    <t>2.8.4</t>
  </si>
  <si>
    <t>平原-改扩建</t>
  </si>
  <si>
    <t>2.8.5</t>
  </si>
  <si>
    <t>山地-改扩建</t>
  </si>
  <si>
    <t>2.8.6</t>
  </si>
  <si>
    <t>复杂山地-改扩建</t>
  </si>
  <si>
    <t>气候及海拔调整</t>
  </si>
  <si>
    <t>2.9.1</t>
  </si>
  <si>
    <t>高寒地区</t>
  </si>
  <si>
    <t>2.9.2</t>
  </si>
  <si>
    <t>高海拔地区</t>
  </si>
  <si>
    <t>海缆建安费调整（不含材料费）</t>
  </si>
  <si>
    <t>根据实际长度调整</t>
  </si>
  <si>
    <t>海缆建安费调整</t>
  </si>
  <si>
    <t>2.10.1</t>
  </si>
  <si>
    <t>万元/km</t>
  </si>
  <si>
    <t>2.10.2</t>
  </si>
  <si>
    <t>66kV</t>
  </si>
  <si>
    <t>路径长度（km）</t>
  </si>
  <si>
    <t>2.10.3</t>
  </si>
  <si>
    <t>35KV</t>
  </si>
  <si>
    <t>离岸距离</t>
  </si>
  <si>
    <t>根据装机容量调整</t>
  </si>
  <si>
    <t>中心点离岸距离约17km</t>
  </si>
  <si>
    <t>2.11.1</t>
  </si>
  <si>
    <t>20-25（km）</t>
  </si>
  <si>
    <t>2.11.2</t>
  </si>
  <si>
    <t>25-30（km）</t>
  </si>
  <si>
    <t>2.11.3</t>
  </si>
  <si>
    <t>30-35（km）</t>
  </si>
  <si>
    <t>2.11.4</t>
  </si>
  <si>
    <t>35-40（km）</t>
  </si>
  <si>
    <t>水深</t>
  </si>
  <si>
    <t>水深约11～16.5m</t>
  </si>
  <si>
    <t>2.12.1</t>
  </si>
  <si>
    <t>20-25（m）</t>
  </si>
  <si>
    <t>2.12.2</t>
  </si>
  <si>
    <t>25-30（m）</t>
  </si>
  <si>
    <t>2.12.3</t>
  </si>
  <si>
    <t>30-35（m）</t>
  </si>
  <si>
    <t>2.12.4</t>
  </si>
  <si>
    <t>35-40（m）</t>
  </si>
  <si>
    <t>2.13.1</t>
  </si>
  <si>
    <t>建设用地费（含用海）</t>
  </si>
  <si>
    <t>根据项目所在地据实调整替代（陆风200元/kW，海风360元/kW）</t>
  </si>
  <si>
    <t>2.13.2</t>
  </si>
  <si>
    <t>水保及环保工程费</t>
  </si>
  <si>
    <t>根据项目所在地据实调整替代（70元/kW）</t>
  </si>
  <si>
    <t>2.13.3</t>
  </si>
  <si>
    <t>沙地</t>
  </si>
  <si>
    <t>智慧风电场（未纳入标准值）</t>
  </si>
  <si>
    <t>2.14.1</t>
  </si>
  <si>
    <t>参考标准值（据实计列）</t>
  </si>
  <si>
    <t>万元</t>
  </si>
  <si>
    <t>补充调整</t>
  </si>
  <si>
    <t>名称</t>
  </si>
  <si>
    <t>陆上风电</t>
  </si>
  <si>
    <t>海上风电</t>
  </si>
  <si>
    <t>50MW</t>
  </si>
  <si>
    <t>100MW</t>
  </si>
  <si>
    <t>200MW</t>
  </si>
  <si>
    <t>500MW</t>
  </si>
  <si>
    <t>1000MW</t>
  </si>
  <si>
    <t>300MW</t>
  </si>
  <si>
    <t>一</t>
  </si>
  <si>
    <t>风力发电机组</t>
  </si>
  <si>
    <t>（1）10台，5MW/台</t>
  </si>
  <si>
    <t>（1）20台，5MW/台</t>
  </si>
  <si>
    <t>（1）40台，5MW/台</t>
  </si>
  <si>
    <t>（1）100台，5MW/台</t>
  </si>
  <si>
    <t>（1）200台，5MW/台</t>
  </si>
  <si>
    <t>（1）27台，11MW/台</t>
  </si>
  <si>
    <t>（1）45台，11MW/台</t>
  </si>
  <si>
    <t>（1）91台，11MW/台</t>
  </si>
  <si>
    <t>（2）叶轮直径为191-200m，轮毂高度为120m</t>
  </si>
  <si>
    <t>（2）叶轮直径为208m，轮毂高度为130m</t>
  </si>
  <si>
    <t>二</t>
  </si>
  <si>
    <t>塔筒（架）</t>
  </si>
  <si>
    <t>钢制塔筒</t>
  </si>
  <si>
    <t>三</t>
  </si>
  <si>
    <t>风电机组基础</t>
  </si>
  <si>
    <r>
      <rPr>
        <sz val="10"/>
        <color rgb="FF000000"/>
        <rFont val="宋体"/>
        <charset val="134"/>
      </rPr>
      <t>（1）风机基础采用</t>
    </r>
    <r>
      <rPr>
        <sz val="10"/>
        <color rgb="FFFF0000"/>
        <rFont val="宋体"/>
        <charset val="134"/>
      </rPr>
      <t>现浇钢筋混凝土圆形独立基础或扩展基础</t>
    </r>
    <r>
      <rPr>
        <sz val="10"/>
        <color rgb="FF000000"/>
        <rFont val="宋体"/>
        <charset val="134"/>
      </rPr>
      <t xml:space="preserve">
（2）基础混凝土强度等级取C40，抗冻等级F200，主受力钢筋强度等级为HRB400</t>
    </r>
  </si>
  <si>
    <r>
      <rPr>
        <sz val="10"/>
        <color rgb="FF000000"/>
        <rFont val="宋体"/>
        <charset val="134"/>
      </rPr>
      <t>（1）风机基础</t>
    </r>
    <r>
      <rPr>
        <sz val="10"/>
        <color rgb="FFFF0000"/>
        <rFont val="宋体"/>
        <charset val="134"/>
      </rPr>
      <t>采用单桩基础</t>
    </r>
    <r>
      <rPr>
        <sz val="10"/>
        <color rgb="FF000000"/>
        <rFont val="宋体"/>
        <charset val="134"/>
      </rPr>
      <t>，与风机塔筒连接处外径8.5m，水中部分通过锥形段过渡到10.5m，泥面以下为单根直径10.5m 钢管桩定位于海底，每根长度约100m，无嵌岩，以砂或黏土及以下地层作为桩基持力层
（2）场址区域水深：30m～35m，场址中心离岸距离30～35km</t>
    </r>
  </si>
  <si>
    <t>四</t>
  </si>
  <si>
    <t>机组变电站</t>
  </si>
  <si>
    <t>（1）采用一机一变电气接线方式，选择干式箱式变电站变压器容量5250kVA，高压侧电压选用35kV等级
（2）选用箱变容量S18-5250/37，37±2×2.5%/1.14kV
（3）箱式变压器基础采用现浇钢筋混凝土箱型结构，混凝土强度等级为C30，天然地基</t>
  </si>
  <si>
    <t>（1）机组变电站升压至66kV，设置于机舱内</t>
  </si>
  <si>
    <t>五</t>
  </si>
  <si>
    <t>集电线路</t>
  </si>
  <si>
    <r>
      <rPr>
        <sz val="10"/>
        <color rgb="FF000000"/>
        <rFont val="宋体"/>
        <charset val="134"/>
      </rPr>
      <t>（1）集电线路和箱式变压器高压侧电压选用35kV等级
（2）集电线路采用</t>
    </r>
    <r>
      <rPr>
        <sz val="10"/>
        <color rgb="FFFF0000"/>
        <rFont val="宋体"/>
        <charset val="134"/>
      </rPr>
      <t>电缆加架空方式</t>
    </r>
    <r>
      <rPr>
        <sz val="10"/>
        <color rgb="FF000000"/>
        <rFont val="宋体"/>
        <charset val="134"/>
      </rPr>
      <t xml:space="preserve">
（3）集电线路箱变与架空线之间、架空线与35kV开关柜之间采用</t>
    </r>
    <r>
      <rPr>
        <sz val="10"/>
        <color rgb="FFFF0000"/>
        <rFont val="宋体"/>
        <charset val="134"/>
      </rPr>
      <t>铝芯电缆</t>
    </r>
    <r>
      <rPr>
        <sz val="10"/>
        <color rgb="FF000000"/>
        <rFont val="宋体"/>
        <charset val="134"/>
      </rPr>
      <t xml:space="preserve">
（4）架空部分导线型式采用</t>
    </r>
    <r>
      <rPr>
        <sz val="10"/>
        <color rgb="FFFF0000"/>
        <rFont val="宋体"/>
        <charset val="134"/>
      </rPr>
      <t xml:space="preserve">钢芯铝绞线
</t>
    </r>
    <r>
      <rPr>
        <sz val="10"/>
        <color rgb="FF000000"/>
        <rFont val="宋体"/>
        <charset val="134"/>
      </rPr>
      <t>（5）无跨越铁路、公路、河流湖泊、高压线路等情况</t>
    </r>
  </si>
  <si>
    <t>（1）集电线路选用66kV等级交流交联聚乙烯三芯海缆
（2）66kV海缆接入海上升压站</t>
  </si>
  <si>
    <t>（5）35kV电缆：平原5.7km，山地6.05km，复杂山地10.9km；
架空线路：单双回比例为8:1，其中平原13.8km，山地18.0km，复杂山地24.2km</t>
  </si>
  <si>
    <t>（5）35kV电缆：平原11.4km，山地14.3km，复杂山地21.8km；
架空线路：单双回比例为8:1，其中平原27.6km，山地36km，复杂山地50.4km</t>
  </si>
  <si>
    <t>（5）35kV电缆：平原29.6km，山地29.0km，复杂山地43.6km；
架空线路：单双回比例为8:1，其中平原71.7km，山地77.0km，复杂山地95.4km</t>
  </si>
  <si>
    <t>（5）35kV电缆：平原74.1km，山地82km，复杂山地113.3km；
架空线路：单双回比例为8:1，其中平原179.4km，山地198.9km，复杂山地242.4km</t>
  </si>
  <si>
    <t>（5）35kV电缆：平原148.2km；
架空线路：单双回比例为8:1，平原358.8km</t>
  </si>
  <si>
    <t>（3）线路长度为路径长度，共计55km</t>
  </si>
  <si>
    <t>（3）线路长度为路径长度，共计107km</t>
  </si>
  <si>
    <t>（3）线路长度为路径长度，共计170km</t>
  </si>
  <si>
    <t>六</t>
  </si>
  <si>
    <t>升压变电站工程（送出海缆）</t>
  </si>
  <si>
    <r>
      <rPr>
        <sz val="10"/>
        <color rgb="FF000000"/>
        <rFont val="宋体"/>
        <charset val="134"/>
      </rPr>
      <t>（1）站内动力电缆采用</t>
    </r>
    <r>
      <rPr>
        <sz val="10"/>
        <color rgb="FFFF0000"/>
        <rFont val="宋体"/>
        <charset val="134"/>
      </rPr>
      <t>铜芯电缆</t>
    </r>
    <r>
      <rPr>
        <sz val="10"/>
        <color rgb="FF000000"/>
        <rFont val="宋体"/>
        <charset val="134"/>
      </rPr>
      <t xml:space="preserve">
（2）站内道路采用4.5m水泥混凝土路面，转弯半径为9m；站内电缆沟采用钢筋混凝土结构
（3）升压站基础均为天然地基，综合楼及附属用房均采用常规建筑型式，电气室采用预制舱形式</t>
    </r>
  </si>
  <si>
    <t>（1）一座陆上集控中心</t>
  </si>
  <si>
    <t>（4）配套新建一座110kV升压站，配置1台50MVA主变</t>
  </si>
  <si>
    <t>（4）配套新建一座110kV升压站，配置1台100MVA主变</t>
  </si>
  <si>
    <t>（4）配套新建一座220kV升压站，配置2台100MVA主变</t>
  </si>
  <si>
    <t>（4）配套新建一座220kV升压站，配置3台170MVA主变</t>
  </si>
  <si>
    <t>（4）配套新建一座330kV升压站，配置4台250MVA主变</t>
  </si>
  <si>
    <t>（2）建筑面积6139m2，220kV
（3）配套新建一座220kV海上升压站，配置2台160MVA主变。2条220kV三芯三相交流光电复合海缆3x800mm2送出至岸上，距离40km，其中登陆距离1.2km</t>
  </si>
  <si>
    <t>（2）建筑面积6283m2，220kV
（3）配套新建一座220kV海升压站，配置2台270MVA主变。2条220kV三芯三相交流光电复合海缆3x800mm2送出至岸上，距离40km，其中登陆距离1.2km</t>
  </si>
  <si>
    <t>（2）建筑面积7254m2，500kV
（3）配套新建一座500kV海升压站，配置2台550MVA主变。2条550kV三芯三相交流光电复合海缆3x800mm2送出至岸上，距离40km，其中登陆距离1.2km</t>
  </si>
  <si>
    <t>七</t>
  </si>
  <si>
    <t>交通工程</t>
  </si>
  <si>
    <t>（1）进场道路考虑从场外既有道路引接，进站道路采用厚度为210mm的水泥混凝土路面，路面宽4m，路基宽5m</t>
  </si>
  <si>
    <t>（1）进集控中心道路考虑从场外既有道路引接，采用厚度为210mm的水泥混凝土路面，路面宽4m，路基宽5m</t>
  </si>
  <si>
    <t>（2）新建场区道路，其中平原13.5km，山地22km，复杂山地23.5km</t>
  </si>
  <si>
    <t>（2）新建场区道路，其中平原28km，山地45km，复杂山地48km</t>
  </si>
  <si>
    <t>（2）新建场区道路，其中平原55.8km，山地70km，复杂山地80km</t>
  </si>
  <si>
    <t>（2）新建场区道路，其中平原141.7km，山地160km，复杂山地196km</t>
  </si>
  <si>
    <t>（2）新建场区道路，平原229.3km</t>
  </si>
  <si>
    <t>项目类型</t>
  </si>
  <si>
    <t>实际造价</t>
  </si>
  <si>
    <t>单位千瓦造价值对比</t>
  </si>
  <si>
    <t>50MW
分散式</t>
  </si>
  <si>
    <r>
      <rPr>
        <b/>
        <sz val="11"/>
        <color rgb="FF000000"/>
        <rFont val="仿宋_GB2312"/>
        <charset val="134"/>
      </rPr>
      <t>300MW</t>
    </r>
  </si>
  <si>
    <r>
      <rPr>
        <b/>
        <sz val="11"/>
        <color rgb="FF000000"/>
        <rFont val="仿宋_GB2312"/>
        <charset val="134"/>
      </rPr>
      <t>500MW</t>
    </r>
  </si>
  <si>
    <t>地形</t>
  </si>
  <si>
    <t>福建、粤东区域</t>
  </si>
  <si>
    <t>施工辅助工程（万元）</t>
  </si>
  <si>
    <t>施工交通工程（万元）</t>
  </si>
  <si>
    <t>施工供电工程（万元）</t>
  </si>
  <si>
    <t>风电机组安装平台工程（万元）</t>
  </si>
  <si>
    <t>大型船舶（机械）进出场（万元）</t>
  </si>
  <si>
    <t>其他施工辅助工程（万元）</t>
  </si>
  <si>
    <t>安全文明施工措施（万元）</t>
  </si>
  <si>
    <t>设备及安装工程（万元）</t>
  </si>
  <si>
    <t>发电场设备及安装工程（万元）</t>
  </si>
  <si>
    <t>集电线路设备及安装工程（万元）</t>
  </si>
  <si>
    <t>登陆海缆工程（万元）</t>
  </si>
  <si>
    <t>升压变电站设备及安装工程（万元）</t>
  </si>
  <si>
    <t>陆上集控中心设备及安装工程（万元）</t>
  </si>
  <si>
    <t>其他设备及安装工程（万元）</t>
  </si>
  <si>
    <t>建筑工程（万元）</t>
  </si>
  <si>
    <t>发电场工程（万元）</t>
  </si>
  <si>
    <t>集电线路工程（万元）</t>
  </si>
  <si>
    <t>升压变电站工程（万元）</t>
  </si>
  <si>
    <t>登陆电缆工程（万元）</t>
  </si>
  <si>
    <t>陆上集控中心工程</t>
  </si>
  <si>
    <t>交通工程（万元）</t>
  </si>
  <si>
    <t>其他工程（万元）</t>
  </si>
  <si>
    <t>其他费用（万元）</t>
  </si>
  <si>
    <t>项目建设用地（海）费（万元）</t>
  </si>
  <si>
    <t>项目前期费（万元）</t>
  </si>
  <si>
    <t>项目建设管理费（万元）</t>
  </si>
  <si>
    <t>生产准备费（万元）</t>
  </si>
  <si>
    <t>科研勘察设计费（万元）</t>
  </si>
  <si>
    <t>其他（万元）</t>
  </si>
  <si>
    <t>一至四部分合计（万元）</t>
  </si>
  <si>
    <t>基本预备费（万元）</t>
  </si>
  <si>
    <t>工程静态投资（万元）</t>
  </si>
  <si>
    <r>
      <rPr>
        <b/>
        <sz val="10"/>
        <color rgb="FF000000"/>
        <rFont val="宋体"/>
        <charset val="134"/>
      </rPr>
      <t>建设期贷款利息（万元）</t>
    </r>
    <r>
      <rPr>
        <b/>
        <sz val="10"/>
        <color rgb="FFFF0000"/>
        <rFont val="宋体"/>
        <charset val="134"/>
      </rPr>
      <t>（3.95%）</t>
    </r>
  </si>
  <si>
    <t>工程动态总投资（万元）</t>
  </si>
  <si>
    <t>单位千瓦静态投资（元/kW)</t>
  </si>
  <si>
    <t>单位千瓦动态投资（元/kW)</t>
  </si>
  <si>
    <t>扣除风机（含塔筒、锚栓等 ）动态投资（元/kW)</t>
  </si>
  <si>
    <t>编号</t>
  </si>
  <si>
    <t>材料类别</t>
  </si>
  <si>
    <t>价格(含税)</t>
  </si>
  <si>
    <t>主要材料</t>
  </si>
  <si>
    <t>钢筋</t>
  </si>
  <si>
    <t>元/t</t>
  </si>
  <si>
    <t>水泥42.5</t>
  </si>
  <si>
    <t>箱式变电站</t>
  </si>
  <si>
    <t>元/kVA</t>
  </si>
  <si>
    <t>主变压器 110kV  50MVA</t>
  </si>
  <si>
    <t>主变压器 110kV  100MVA</t>
  </si>
  <si>
    <t>主变压器 220kV  100MVA</t>
  </si>
  <si>
    <t>主变压器 220kV  170MVA</t>
  </si>
  <si>
    <t>高压开关柜</t>
  </si>
  <si>
    <t>无功补偿装置</t>
  </si>
  <si>
    <t>元/kVar</t>
  </si>
  <si>
    <t>66kV 海底电缆 3×95mm2+2x36 芯光纤</t>
  </si>
  <si>
    <t>66kV 海底电缆 3×150mm2+2x36 芯光纤</t>
  </si>
  <si>
    <t>66kV 海底电缆 3×240mm2+2x36 芯光纤</t>
  </si>
  <si>
    <t>66kV 海底电缆 3×400mm2+2x36 芯光纤</t>
  </si>
  <si>
    <t>66kV 海底电缆 3×500mm2+2x36 芯光纤</t>
  </si>
  <si>
    <t>220kV 海底电缆 127/220kV,XLPE 绝缘,光电复合,钢丝铠装，3×500mm2+2×48 芯光纤</t>
  </si>
  <si>
    <t>220kV 海底电缆 127/220kV,XLPE 绝缘,光电复合,钢丝铠装，3×800mm2+2×48 芯光纤</t>
  </si>
  <si>
    <t>500kV 海底电缆 XLPE 绝缘,光电复合,钢丝铠装 3×800mm2+2×SM48C</t>
  </si>
  <si>
    <t>220kV 主变压器(海上)160MVA</t>
  </si>
  <si>
    <t>220kV 主变压器(海上)270MVA</t>
  </si>
  <si>
    <t>500kV 主变压器(海上)550MVA</t>
  </si>
  <si>
    <t>指标</t>
  </si>
  <si>
    <t>原名称</t>
  </si>
  <si>
    <t>关键词</t>
  </si>
  <si>
    <t>辅助关键词</t>
  </si>
  <si>
    <t>是否必须</t>
  </si>
  <si>
    <t>是否think mode</t>
  </si>
  <si>
    <t>温度设置</t>
  </si>
  <si>
    <t>选项</t>
  </si>
  <si>
    <t>数值</t>
  </si>
  <si>
    <t>直流侧装机容量或装机/规划容量</t>
  </si>
  <si>
    <t>直流侧装机容量</t>
  </si>
  <si>
    <t>直流侧装机容量、装机容量、规划容量、总容量</t>
  </si>
  <si>
    <t>MWp</t>
  </si>
  <si>
    <t>低</t>
  </si>
  <si>
    <t>交流侧装机容量</t>
  </si>
  <si>
    <t>交流侧容量、交流侧装机容量、MW、交流容量、建设装机容量、建设容量</t>
  </si>
  <si>
    <t>MW</t>
  </si>
  <si>
    <t>动态投资</t>
  </si>
  <si>
    <t>动态投资、动态总投资</t>
  </si>
  <si>
    <t>万</t>
  </si>
  <si>
    <t>建设期利息</t>
  </si>
  <si>
    <t>建设/项目地的地形类型（请判断是平原还是山地）</t>
  </si>
  <si>
    <t>地形、地貌、平原、山地、平缓、陡、鱼塘、渔塘</t>
  </si>
  <si>
    <t>建设地、拟建场地</t>
  </si>
  <si>
    <t>是</t>
  </si>
  <si>
    <t>平原、山地</t>
  </si>
  <si>
    <t>-</t>
  </si>
  <si>
    <t>配套储能费用</t>
  </si>
  <si>
    <t>配套储能</t>
  </si>
  <si>
    <t>配套储能、储能、储能工程</t>
  </si>
  <si>
    <t>送出线路及对端改造费用</t>
  </si>
  <si>
    <t>送出线路及对端改造</t>
  </si>
  <si>
    <t>送出线路、送出线路投资（含对侧间隔）、送出线路投资、对端改造、送出工程、送出</t>
  </si>
  <si>
    <t>降水费用</t>
  </si>
  <si>
    <t>降水</t>
  </si>
  <si>
    <t>软基处理费</t>
  </si>
  <si>
    <t>软基处理费、软基</t>
  </si>
  <si>
    <t>扶贫及乡村振兴</t>
  </si>
  <si>
    <t>扶贫及乡村振兴、扶贫、乡村振兴、乡村</t>
  </si>
  <si>
    <t>生态治理、保护和恢复费</t>
  </si>
  <si>
    <t>沙漠生态治理</t>
  </si>
  <si>
    <t>沙漠、湿地</t>
  </si>
  <si>
    <t>反恐费用</t>
  </si>
  <si>
    <t>反恐费用、反恐</t>
  </si>
  <si>
    <t>场外道路</t>
  </si>
  <si>
    <t>军民融合工程/军事补偿</t>
  </si>
  <si>
    <t>军民融合工程、军事补偿</t>
  </si>
  <si>
    <t>换填项目总额（50万元以上）</t>
  </si>
  <si>
    <t>大方量基础换填</t>
  </si>
  <si>
    <t>换填</t>
  </si>
  <si>
    <t>本项目光伏组件设备价格</t>
  </si>
  <si>
    <t>本项目组件设备价格</t>
  </si>
  <si>
    <t>光伏组件设备、光伏组件</t>
  </si>
  <si>
    <t>中</t>
  </si>
  <si>
    <r>
      <rPr>
        <sz val="11"/>
        <color rgb="FF000000"/>
        <rFont val="Microsoft YaHei"/>
        <charset val="134"/>
      </rPr>
      <t>元</t>
    </r>
    <r>
      <rPr>
        <sz val="11"/>
        <color rgb="FF000000"/>
        <rFont val="Calibri"/>
        <charset val="134"/>
      </rPr>
      <t>/kW</t>
    </r>
  </si>
  <si>
    <t>本项目逆变器设备价格</t>
  </si>
  <si>
    <t>逆变器设备、逆变器</t>
  </si>
  <si>
    <t>本项目固定支架/光伏组件支架重量</t>
  </si>
  <si>
    <t>本项目固定支架重量</t>
  </si>
  <si>
    <t>固定支架、光伏组件支架</t>
  </si>
  <si>
    <t>t</t>
  </si>
  <si>
    <t>固定可调支架对应容量</t>
  </si>
  <si>
    <t>固定可调支架容量、固定可调容量、固定可调支架</t>
  </si>
  <si>
    <t>平单轴跟踪支架对应容量</t>
  </si>
  <si>
    <t>平单轴跟踪支架容量、平单轴容量、平单轴支架容量、平单轴跟踪支架、平单轴、平单轴支架</t>
  </si>
  <si>
    <t>柔性支架对应容量</t>
  </si>
  <si>
    <t>柔性支架容量、柔性容量、柔性支架</t>
  </si>
  <si>
    <t>判断项目采用的逆变器类型</t>
  </si>
  <si>
    <t>逆变器类型</t>
  </si>
  <si>
    <t>组串式逆变器、集中式逆变器</t>
  </si>
  <si>
    <t>选用</t>
  </si>
  <si>
    <t>组串式逆变器、集中式逆变器、分布式逆变器</t>
  </si>
  <si>
    <t>发电场工程PHC桩或预应力高强度混凝土管桩（桩径300 mm）总长度</t>
  </si>
  <si>
    <t>PHC桩（桩径φ300）</t>
  </si>
  <si>
    <t>PHC、预应力高强度混凝土、预应力混凝土、预应力管桩、预应力</t>
  </si>
  <si>
    <t>高</t>
  </si>
  <si>
    <t>m</t>
  </si>
  <si>
    <t>PHC桩（桩径φ300）对应容量</t>
  </si>
  <si>
    <t>发电场工程PHC桩或预应力高强度混凝土管桩（桩径400 mm）总长度</t>
  </si>
  <si>
    <t>PHC桩（桩径φ400）</t>
  </si>
  <si>
    <t>发电场工程灌注桩（桩径250 mm）总长度</t>
  </si>
  <si>
    <t>灌注桩（桩径φ250）</t>
  </si>
  <si>
    <t>灌注</t>
  </si>
  <si>
    <t>发电场工程灌注桩（桩径300 mm）总长度</t>
  </si>
  <si>
    <t>灌注桩（桩径φ300）</t>
  </si>
  <si>
    <t>发电场工程灌注桩（桩径350 mm）总长度</t>
  </si>
  <si>
    <t>灌注桩（桩径φ350）</t>
  </si>
  <si>
    <t>发电场工程灌注桩（桩径400 mm）总长度</t>
  </si>
  <si>
    <t>灌注桩（桩径φ400）</t>
  </si>
  <si>
    <t>发电场工程螺旋桩总长度</t>
  </si>
  <si>
    <t>螺旋桩</t>
  </si>
  <si>
    <t>螺旋</t>
  </si>
  <si>
    <t>是否有农林光伏</t>
  </si>
  <si>
    <t>农林光伏</t>
  </si>
  <si>
    <t>农林光伏、种菜、农、林、渔业、渔</t>
  </si>
  <si>
    <t>是、否</t>
  </si>
  <si>
    <t>是否有渔光互补</t>
  </si>
  <si>
    <t>渔光互补
（特指采用预制桩基础形式）</t>
  </si>
  <si>
    <t>渔光互补、渔业、渔、农业、农</t>
  </si>
  <si>
    <t>是否有水面光伏
（特指漂浮式光伏）</t>
  </si>
  <si>
    <t>水面光伏
（特指漂浮式光伏）</t>
  </si>
  <si>
    <t>水面光伏、漂浮</t>
  </si>
  <si>
    <t>是否有滩涂光伏（海边）</t>
  </si>
  <si>
    <t>滩涂光伏（海边）</t>
  </si>
  <si>
    <t>滩涂光伏、海边、滩涂</t>
  </si>
  <si>
    <t>新建、配套建设升压站（变电站）电压等级</t>
  </si>
  <si>
    <t>变压器电压等级</t>
  </si>
  <si>
    <t>升压站、变电站、开关站</t>
  </si>
  <si>
    <t>新建</t>
  </si>
  <si>
    <t>变压器能耗是否为一级或1级</t>
  </si>
  <si>
    <t>变压器能耗（一级）</t>
  </si>
  <si>
    <t>一级、1级</t>
  </si>
  <si>
    <t>道路新建长度</t>
  </si>
  <si>
    <t>道路新建、新建道路</t>
  </si>
  <si>
    <t>km</t>
  </si>
  <si>
    <t>道路改扩建长度</t>
  </si>
  <si>
    <t>道路改扩建、道路改建、道路扩改建、道路扩建、改扩建道路、改建道路、扩建道路</t>
  </si>
  <si>
    <t>建设用地费</t>
  </si>
  <si>
    <t>建设用地</t>
  </si>
  <si>
    <t>环境保护工程</t>
  </si>
  <si>
    <t>环境保护工程、环境保护设施工程</t>
  </si>
  <si>
    <t>水土保持工程</t>
  </si>
  <si>
    <t>水土保持工程、水土保持设施工程</t>
  </si>
  <si>
    <t>水土保持补偿费</t>
  </si>
  <si>
    <t>水土保持补偿、水土保持设施补偿</t>
  </si>
  <si>
    <t>根据项目气候情况判断是否为高寒地区</t>
  </si>
  <si>
    <t>气候</t>
  </si>
  <si>
    <t>项目</t>
  </si>
  <si>
    <t>项目所在地海拔</t>
  </si>
  <si>
    <t>海拔（m）</t>
  </si>
  <si>
    <t>海拔、高程</t>
  </si>
  <si>
    <t>建设场地、位于、场地、m</t>
  </si>
  <si>
    <t>建设场地是否分散</t>
  </si>
  <si>
    <t>分散、建设分散、分散建设、分布分散、分散分布、集中、地块集中、场地集中</t>
  </si>
  <si>
    <t>光伏、建设场地</t>
  </si>
  <si>
    <t>本项目光伏组件类型</t>
  </si>
  <si>
    <t>光伏组件类型</t>
  </si>
  <si>
    <t>N型、P型、HJT、BC、N 型、P 型、异质结</t>
  </si>
  <si>
    <t>否</t>
  </si>
  <si>
    <t>N型、P型、HJT、BC、异质结</t>
  </si>
  <si>
    <r>
      <rPr>
        <b/>
        <sz val="16"/>
        <color rgb="FF000000"/>
        <rFont val="宋体"/>
        <charset val="134"/>
      </rPr>
      <t>1）基准值为</t>
    </r>
    <r>
      <rPr>
        <b/>
        <sz val="16"/>
        <color rgb="FFFF0000"/>
        <rFont val="宋体"/>
        <charset val="134"/>
      </rPr>
      <t>动态投资</t>
    </r>
    <r>
      <rPr>
        <b/>
        <sz val="16"/>
        <color rgb="FF000000"/>
        <rFont val="宋体"/>
        <charset val="134"/>
      </rPr>
      <t>对应的千瓦造价，以</t>
    </r>
    <r>
      <rPr>
        <b/>
        <sz val="16"/>
        <color rgb="FFFF0000"/>
        <rFont val="宋体"/>
        <charset val="134"/>
      </rPr>
      <t>直流侧</t>
    </r>
    <r>
      <rPr>
        <b/>
        <sz val="16"/>
        <color rgb="FF000000"/>
        <rFont val="宋体"/>
        <charset val="134"/>
      </rPr>
      <t>装机规模计算；
2）集中式电站装机规模低于60MWp（直流侧）的以50MW（60MWp）基准值为准，高于1200MWp（直流侧）的以1000MW（1200MWp）基准值为准，其他按直流侧装机利用</t>
    </r>
    <r>
      <rPr>
        <b/>
        <sz val="16"/>
        <color rgb="FFFF0000"/>
        <rFont val="宋体"/>
        <charset val="134"/>
      </rPr>
      <t>线性插值法</t>
    </r>
    <r>
      <rPr>
        <b/>
        <sz val="16"/>
        <color rgb="FF000000"/>
        <rFont val="宋体"/>
        <charset val="134"/>
      </rPr>
      <t>按比例调整</t>
    </r>
  </si>
  <si>
    <t>集中式光伏</t>
  </si>
  <si>
    <t>造价调整值（元/kW）</t>
  </si>
  <si>
    <t>直流侧装机容量（MWp）</t>
  </si>
  <si>
    <t>单位千瓦动态投资（元/kWp）</t>
  </si>
  <si>
    <r>
      <rPr>
        <b/>
        <sz val="14"/>
        <color rgb="FF000000"/>
        <rFont val="宋体"/>
        <charset val="134"/>
      </rPr>
      <t>研究院复核-与造价标准值可比投资</t>
    </r>
    <r>
      <rPr>
        <b/>
        <sz val="14"/>
        <color rgb="FFFF0000"/>
        <rFont val="宋体"/>
        <charset val="134"/>
      </rPr>
      <t>（万元）</t>
    </r>
    <r>
      <rPr>
        <b/>
        <sz val="14"/>
        <color rgb="FF000000"/>
        <rFont val="宋体"/>
        <charset val="134"/>
      </rPr>
      <t>（总投资-配套储能、送出、其他投资）</t>
    </r>
  </si>
  <si>
    <r>
      <rPr>
        <b/>
        <sz val="14"/>
        <color rgb="FF000000"/>
        <rFont val="宋体"/>
        <charset val="134"/>
      </rPr>
      <t>研究院复核-</t>
    </r>
    <r>
      <rPr>
        <b/>
        <sz val="14"/>
        <color rgb="FF000000"/>
        <rFont val="宋体"/>
        <charset val="134"/>
      </rPr>
      <t>与造价标准值可比投资</t>
    </r>
    <r>
      <rPr>
        <b/>
        <sz val="14"/>
        <color rgb="FFFF0000"/>
        <rFont val="宋体"/>
        <charset val="134"/>
      </rPr>
      <t>（元/kWp）</t>
    </r>
    <r>
      <rPr>
        <b/>
        <sz val="14"/>
        <color rgb="FF000000"/>
        <rFont val="宋体"/>
        <charset val="134"/>
      </rPr>
      <t>（总投资-配套储能、送出、其他投资）</t>
    </r>
  </si>
  <si>
    <t>研究院复核-集团公司下发的造价标准值（元/kWp）
（标准值+调整值）</t>
  </si>
  <si>
    <t>超标百分比</t>
  </si>
  <si>
    <t>研究院复核-如果单位千瓦造价超标准值，要说明原因</t>
  </si>
  <si>
    <t>项目单位原因说明</t>
  </si>
  <si>
    <t>交流侧（MW）</t>
  </si>
  <si>
    <t>交流测装机容量（MW）</t>
  </si>
  <si>
    <t>直流侧（MWp）</t>
  </si>
  <si>
    <t>动态投资（万元）</t>
  </si>
  <si>
    <t>基本方案千瓦造价标准值</t>
  </si>
  <si>
    <t>建设期利息（万元）</t>
  </si>
  <si>
    <t>元/kWp</t>
  </si>
  <si>
    <t>其他扣除费用对应建设期利息（万元）</t>
  </si>
  <si>
    <t>配套储能
（万元）</t>
  </si>
  <si>
    <t>送出线路及对端改造（万元）</t>
  </si>
  <si>
    <t>降水费用（万元）</t>
  </si>
  <si>
    <t>软基处理费（万元）</t>
  </si>
  <si>
    <t>扶贫及乡村振兴（万元）</t>
  </si>
  <si>
    <t>沙漠生态治理（万元）</t>
  </si>
  <si>
    <t>反恐费用(万元）</t>
  </si>
  <si>
    <t>其他扣除（万元）</t>
  </si>
  <si>
    <t>军民融合工程/军事补偿（万元）</t>
  </si>
  <si>
    <t>大方量基础换填（50万元以上）</t>
  </si>
  <si>
    <t>其他扣除费用合计（万元）</t>
  </si>
  <si>
    <t>设备价格调整</t>
  </si>
  <si>
    <t>组件设备价格</t>
  </si>
  <si>
    <t>以实际价格替代（光伏组件设备650元/kWp）</t>
  </si>
  <si>
    <t>组件价格（元/kWp）</t>
  </si>
  <si>
    <t>集团最新集采价：P型0.67 元/Wp、N型TOPCon 0.75元/Wp、HJT和BC 0.82 元/Wp；
组串式0.12元/W、集中式0.17元/W、分布式光伏逆变器0.15 元/W</t>
  </si>
  <si>
    <t>2.1.2</t>
  </si>
  <si>
    <t>逆变器价格调整</t>
  </si>
  <si>
    <r>
      <rPr>
        <b/>
        <sz val="14"/>
        <color rgb="FF000000"/>
        <rFont val="宋体"/>
        <charset val="134"/>
      </rPr>
      <t>以实际价格替代（逆变器设备110</t>
    </r>
    <r>
      <rPr>
        <b/>
        <sz val="14"/>
        <color rgb="FFFF0000"/>
        <rFont val="宋体"/>
        <charset val="134"/>
      </rPr>
      <t>元/kW</t>
    </r>
    <r>
      <rPr>
        <b/>
        <sz val="14"/>
        <color rgb="FF000000"/>
        <rFont val="宋体"/>
        <charset val="134"/>
      </rPr>
      <t>）</t>
    </r>
  </si>
  <si>
    <t>逆变器设备价格（元/kW）</t>
  </si>
  <si>
    <r>
      <rPr>
        <b/>
        <sz val="14"/>
        <color rgb="FFFF0000"/>
        <rFont val="宋体"/>
        <charset val="134"/>
      </rPr>
      <t>【注】</t>
    </r>
    <r>
      <rPr>
        <b/>
        <sz val="14"/>
        <color rgb="FF000000"/>
        <rFont val="宋体"/>
        <charset val="134"/>
      </rPr>
      <t>组件逆变器价格不高于最近一期集团集采价格</t>
    </r>
  </si>
  <si>
    <t>支架调整</t>
  </si>
  <si>
    <t>固定支架</t>
  </si>
  <si>
    <t>以实际重量替代（6500元/t）</t>
  </si>
  <si>
    <t>固定支架实际重量调整</t>
  </si>
  <si>
    <t>固定可调支架</t>
  </si>
  <si>
    <t>实际固定支架（t）</t>
  </si>
  <si>
    <t>固定支架装机容量（MWp）</t>
  </si>
  <si>
    <t>固定可调支架装机容量（MWp）</t>
  </si>
  <si>
    <t>平单轴跟踪支架装机容量（MWp）</t>
  </si>
  <si>
    <t>柔性支架装机容量（MWp）</t>
  </si>
  <si>
    <t>平单轴跟踪支架</t>
  </si>
  <si>
    <t>柔性支架</t>
  </si>
  <si>
    <t>固定支架标准值（t）</t>
  </si>
  <si>
    <t>逆变器调整</t>
  </si>
  <si>
    <t>集中式逆变器（调减）</t>
  </si>
  <si>
    <t>基础建安费调整</t>
  </si>
  <si>
    <t>实际类型</t>
  </si>
  <si>
    <t>基本方案</t>
  </si>
  <si>
    <t>组串式逆变器</t>
  </si>
  <si>
    <t>桩实际长度调整</t>
  </si>
  <si>
    <t>实际桩类型</t>
  </si>
  <si>
    <t>实际桩长（m）</t>
  </si>
  <si>
    <t>装机容量（MWp）</t>
  </si>
  <si>
    <t>标准值（m）</t>
  </si>
  <si>
    <r>
      <rPr>
        <b/>
        <sz val="14"/>
        <color rgb="FFFF0000"/>
        <rFont val="宋体"/>
        <charset val="134"/>
      </rPr>
      <t>基本方案</t>
    </r>
    <r>
      <rPr>
        <b/>
        <sz val="14"/>
        <color rgb="FF000000"/>
        <rFont val="宋体"/>
        <charset val="134"/>
      </rPr>
      <t>：预应力混凝土桩（PHC 300 AB 70）</t>
    </r>
  </si>
  <si>
    <t>【注】基础方案中支架基础为预应力混凝土桩（PHC 300 AB 70），实际方案调整此项！</t>
  </si>
  <si>
    <t>2.4.6</t>
  </si>
  <si>
    <t>2.4.7</t>
  </si>
  <si>
    <t>变电站调整</t>
  </si>
  <si>
    <r>
      <rPr>
        <b/>
        <sz val="14"/>
        <color rgb="FFFF0000"/>
        <rFont val="宋体"/>
        <charset val="134"/>
      </rPr>
      <t>【注】</t>
    </r>
    <r>
      <rPr>
        <b/>
        <sz val="14"/>
        <color rgb="FF000000"/>
        <rFont val="宋体"/>
        <charset val="134"/>
      </rPr>
      <t>农林光伏、渔光互补、滩涂光伏（海边）调整值均已包含桩基础调整费用，不再重复调整。</t>
    </r>
  </si>
  <si>
    <t>220kV升压站</t>
  </si>
  <si>
    <t>农林光伏、渔光互补、水面光伏、滩涂光伏（海边）调整</t>
  </si>
  <si>
    <t>330kV升压站</t>
  </si>
  <si>
    <t>渔光互补</t>
  </si>
  <si>
    <t>水面光伏</t>
  </si>
  <si>
    <t>是否涉及此项</t>
  </si>
  <si>
    <t>2.9.3</t>
  </si>
  <si>
    <t>变压器能耗(一级）</t>
  </si>
  <si>
    <t>变压器类型</t>
  </si>
  <si>
    <t>改扩建</t>
  </si>
  <si>
    <t>容配比调整</t>
  </si>
  <si>
    <t>道路调整</t>
  </si>
  <si>
    <t>实际改扩建长度（km）</t>
  </si>
  <si>
    <t>实际新建道路长度（km）</t>
  </si>
  <si>
    <t>标准值（km）</t>
  </si>
  <si>
    <t>根据项目实际占地面积和所在地费用标准据实调整（165元/kWp）</t>
  </si>
  <si>
    <t>根据项目所在地据实调整（58元/kWp）</t>
  </si>
  <si>
    <r>
      <rPr>
        <b/>
        <sz val="14"/>
        <color rgb="FFFF0000"/>
        <rFont val="宋体"/>
        <charset val="134"/>
      </rPr>
      <t>【注】</t>
    </r>
    <r>
      <rPr>
        <b/>
        <sz val="14"/>
        <color rgb="FF000000"/>
        <rFont val="宋体"/>
        <charset val="134"/>
      </rPr>
      <t>新建改建道路工程量之和原则上不高于基本方案2.5倍，如超出应单独提供说明文件</t>
    </r>
  </si>
  <si>
    <t>高寒地区
（海拔高、常年低温、冻土常年不化的地区。高纬度、常年低温、冻土常年不化的地区。北纬45°以北地区，黑龙江省北部、青藏高原、甘肃、内蒙古部分地区。）</t>
  </si>
  <si>
    <t>高海拔地区：3000-4000m</t>
  </si>
  <si>
    <t>项目实际容配比</t>
  </si>
  <si>
    <r>
      <rPr>
        <b/>
        <sz val="14"/>
        <color rgb="FFFF0000"/>
        <rFont val="宋体"/>
        <charset val="134"/>
      </rPr>
      <t>【注】</t>
    </r>
    <r>
      <rPr>
        <b/>
        <sz val="14"/>
        <color rgb="FF000000"/>
        <rFont val="宋体"/>
        <charset val="134"/>
      </rPr>
      <t>容配比介于1.0-1.2之间的项目采用插值法调整。大于1.2的项目不调整。小于1.0的项目按1.0调整</t>
    </r>
  </si>
  <si>
    <t>2.12.5</t>
  </si>
  <si>
    <t>高海拔地区：4000m及以上</t>
  </si>
  <si>
    <t>2.12.6</t>
  </si>
  <si>
    <t>建设场地分散调整
（指光伏方阵未连片建设，分成多个片区且各片区之间有一定距离）</t>
  </si>
  <si>
    <t>实际建设用地费（万元）</t>
  </si>
  <si>
    <t>环境保护工程（万元）</t>
  </si>
  <si>
    <t>水土保持工程（万元）</t>
  </si>
  <si>
    <t>水土保持补偿费（万元）</t>
  </si>
  <si>
    <t>海拔高度（m）</t>
  </si>
  <si>
    <t>场地是否分散</t>
  </si>
  <si>
    <t>实际水保及环保工程费</t>
  </si>
  <si>
    <t>基本方案说明</t>
  </si>
  <si>
    <t>工程类别</t>
  </si>
  <si>
    <t>地面光伏</t>
  </si>
  <si>
    <t>工商业光伏</t>
  </si>
  <si>
    <t>户用光伏</t>
  </si>
  <si>
    <t>并网容量（MW）</t>
  </si>
  <si>
    <t>直流侧容（MWp）</t>
  </si>
  <si>
    <t>组件型号</t>
  </si>
  <si>
    <t>N型Topcon双面双玻（182型）600+Wp</t>
  </si>
  <si>
    <t>组件支架</t>
  </si>
  <si>
    <t>（1）固定钢支架</t>
  </si>
  <si>
    <t>（2）支架总量2176t</t>
  </si>
  <si>
    <t>（2）支架总量4352t</t>
  </si>
  <si>
    <t>（2）支架总量8704t</t>
  </si>
  <si>
    <t>（2）支架总量21760t</t>
  </si>
  <si>
    <t>（2）支架总量43520t</t>
  </si>
  <si>
    <t>（2）支架总量180t</t>
  </si>
  <si>
    <t>（2）支架总量3000t</t>
  </si>
  <si>
    <t>支架基础</t>
  </si>
  <si>
    <t>(1)预应力混凝土桩（PHC 300 AB 70）</t>
  </si>
  <si>
    <t>（1）混凝土预制压块</t>
  </si>
  <si>
    <t>(2)桩总长78833m</t>
  </si>
  <si>
    <t>(2)桩总长157665m</t>
  </si>
  <si>
    <t>(2)桩总长315330m</t>
  </si>
  <si>
    <t>(2)桩总长788325m</t>
  </si>
  <si>
    <t>(2)桩总长1576650m</t>
  </si>
  <si>
    <r>
      <rPr>
        <sz val="11"/>
        <color rgb="FF000000"/>
        <rFont val="宋体"/>
        <charset val="134"/>
      </rPr>
      <t>（2）预制压块体积156m</t>
    </r>
    <r>
      <rPr>
        <sz val="11"/>
        <color rgb="FF000000"/>
        <rFont val="宋体"/>
        <charset val="134"/>
      </rPr>
      <t>3</t>
    </r>
  </si>
  <si>
    <r>
      <rPr>
        <sz val="11"/>
        <color rgb="FF000000"/>
        <rFont val="宋体"/>
        <charset val="134"/>
      </rPr>
      <t>（2）预制压块体积2600m</t>
    </r>
    <r>
      <rPr>
        <sz val="11"/>
        <color rgb="FF000000"/>
        <rFont val="宋体"/>
        <charset val="134"/>
      </rPr>
      <t>3</t>
    </r>
  </si>
  <si>
    <t>汇流及配电设备</t>
  </si>
  <si>
    <t>组串式逆变器320kW，3150kVA箱变,箱式变压器基础采用现浇钢筋混凝土箱型结构，混凝土强度等级为C30，天然地基</t>
  </si>
  <si>
    <t>组串式逆变器320kW，3150kVA箱变</t>
  </si>
  <si>
    <t>组串式逆变器平均功率16.5kW，0.4kV并网箱，监控系统无调度功能</t>
  </si>
  <si>
    <t>35kV铝合金地埋电缆17.5km</t>
  </si>
  <si>
    <t>35kV铝合金地埋电缆35km</t>
  </si>
  <si>
    <t>35kV铝合金地埋电缆70km</t>
  </si>
  <si>
    <t>35kV铝合金地埋电缆175km</t>
  </si>
  <si>
    <t>35kV铝合金地埋电缆350km</t>
  </si>
  <si>
    <t>铝合金电缆桥架敷设，3km 10kV电缆</t>
  </si>
  <si>
    <t>PVC穿线管</t>
  </si>
  <si>
    <t>升压站/开关站</t>
  </si>
  <si>
    <t>（1）站内动力电缆采用铜芯电缆
（2）站内道路采用4.5m水泥混凝土路面，转弯半径为9m；站内电缆沟采用钢筋混凝土结构
（3）升压站基础均为天然地基，综合楼及附属用房均采用常规建筑型式，电气室采用预制舱形式</t>
  </si>
  <si>
    <t>10kV接入</t>
  </si>
  <si>
    <t>并网箱出线并入变压器低压侧380V母线</t>
  </si>
  <si>
    <t>（4）配套新建一座220kV升压站，配置2台250MVA主变</t>
  </si>
  <si>
    <t>交通工程/房屋加固</t>
  </si>
  <si>
    <t>（1）进站道路采用水泥混凝土路面，路面宽4m，路基宽5m
（2）场区道路泥结石路面</t>
  </si>
  <si>
    <t>不含房屋加固工程</t>
  </si>
  <si>
    <t>（3）新建场区道路，其中平原8.1km，山地16.2km</t>
  </si>
  <si>
    <t>（3）新建场区道路，其中平原16.2km，山地32.4km</t>
  </si>
  <si>
    <t>（3）新建场区道路，其中平原32.4km，山地64.8km</t>
  </si>
  <si>
    <t>（3）新建场区道路，其中平原81km，山地162km</t>
  </si>
  <si>
    <t>（3）新建场区道路，其中平原162km，山地324km</t>
  </si>
  <si>
    <t>必要的道路修建与维护</t>
  </si>
  <si>
    <t>分布式</t>
  </si>
  <si>
    <t>项目名称/地形</t>
  </si>
  <si>
    <t>工商业</t>
  </si>
  <si>
    <t>户用</t>
  </si>
  <si>
    <t>控制保护设备及安装工程（万元）</t>
  </si>
  <si>
    <t>智慧化场站（万元）</t>
  </si>
  <si>
    <t>房屋建筑工程（万元）</t>
  </si>
  <si>
    <t>项目建设用地费（万元）</t>
  </si>
  <si>
    <t>勘察设计费（万元）</t>
  </si>
  <si>
    <t>其他税费（万元）</t>
  </si>
  <si>
    <t>一至三部分合计（万元）</t>
  </si>
  <si>
    <t>价差预备费（万元）</t>
  </si>
  <si>
    <t>建设投资（万元）</t>
  </si>
  <si>
    <t>建设期贷款利息（万元）</t>
  </si>
  <si>
    <t>直流侧单位千瓦静态投资（元/kW)</t>
  </si>
  <si>
    <t>直流侧单位千瓦动态投资（元/kW)</t>
  </si>
  <si>
    <t>设备类别</t>
  </si>
  <si>
    <t>组件</t>
  </si>
  <si>
    <t>元/Wp</t>
  </si>
  <si>
    <t>逆变器</t>
  </si>
  <si>
    <t>元/W</t>
  </si>
  <si>
    <r>
      <rPr>
        <sz val="11"/>
        <color rgb="FF000000"/>
        <rFont val="宋体"/>
        <charset val="134"/>
      </rPr>
      <t>主变压器110kV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50MVA</t>
    </r>
  </si>
  <si>
    <r>
      <rPr>
        <sz val="11"/>
        <color rgb="FF000000"/>
        <rFont val="宋体"/>
        <charset val="134"/>
      </rPr>
      <t>主变压器110kV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100MVA</t>
    </r>
  </si>
  <si>
    <r>
      <rPr>
        <sz val="11"/>
        <color rgb="FF000000"/>
        <rFont val="宋体"/>
        <charset val="134"/>
      </rPr>
      <t>主变压器220kV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100MVA</t>
    </r>
  </si>
  <si>
    <r>
      <rPr>
        <sz val="11"/>
        <color rgb="FF000000"/>
        <rFont val="宋体"/>
        <charset val="134"/>
      </rPr>
      <t>主变压器220kV</t>
    </r>
    <r>
      <rPr>
        <sz val="11"/>
        <color rgb="FF000000"/>
        <rFont val="宋体"/>
        <charset val="134"/>
      </rPr>
      <t xml:space="preserve">  </t>
    </r>
    <r>
      <rPr>
        <sz val="11"/>
        <color rgb="FF000000"/>
        <rFont val="宋体"/>
        <charset val="134"/>
      </rPr>
      <t>250MVA</t>
    </r>
  </si>
  <si>
    <t>备注：如项目选取规格与上述不同，可参照相近或类似条目，变压器为二级能效。</t>
  </si>
  <si>
    <t>铝合金导轨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</si>
</sst>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  <numFmt numFmtId="177" formatCode="#,##0.00%"/>
  </numFmts>
  <fonts count="4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4"/>
      <color rgb="FF000000"/>
      <name val="宋体"/>
      <charset val="134"/>
    </font>
    <font>
      <b/>
      <sz val="14"/>
      <color rgb="FFFF0000"/>
      <name val="宋体"/>
      <charset val="134"/>
    </font>
    <font>
      <sz val="11"/>
      <color rgb="FF000000"/>
      <name val="Calibri"/>
      <charset val="134"/>
    </font>
    <font>
      <b/>
      <sz val="12"/>
      <color rgb="FFFF0000"/>
      <name val="宋体"/>
      <charset val="134"/>
    </font>
    <font>
      <b/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b/>
      <sz val="10"/>
      <color rgb="FFFF0000"/>
      <name val="宋体"/>
      <charset val="134"/>
    </font>
    <font>
      <b/>
      <sz val="11"/>
      <color rgb="FF000000"/>
      <name val="仿宋_GB2312"/>
      <charset val="134"/>
    </font>
    <font>
      <sz val="10"/>
      <color rgb="FFFF0000"/>
      <name val="宋体"/>
      <charset val="134"/>
    </font>
    <font>
      <i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CD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6" borderId="2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" borderId="26" applyNumberFormat="0" applyAlignment="0" applyProtection="0">
      <alignment vertical="center"/>
    </xf>
    <xf numFmtId="0" fontId="31" fillId="8" borderId="27" applyNumberFormat="0" applyAlignment="0" applyProtection="0">
      <alignment vertical="center"/>
    </xf>
    <xf numFmtId="0" fontId="32" fillId="8" borderId="26" applyNumberFormat="0" applyAlignment="0" applyProtection="0">
      <alignment vertical="center"/>
    </xf>
    <xf numFmtId="0" fontId="33" fillId="9" borderId="28" applyNumberFormat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</cellStyleXfs>
  <cellXfs count="226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2" borderId="2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left" wrapText="1"/>
    </xf>
    <xf numFmtId="3" fontId="1" fillId="2" borderId="5" xfId="0" applyNumberFormat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left" wrapText="1"/>
    </xf>
    <xf numFmtId="3" fontId="2" fillId="2" borderId="5" xfId="0" applyNumberFormat="1" applyFont="1" applyFill="1" applyBorder="1" applyAlignment="1">
      <alignment horizontal="center" wrapText="1"/>
    </xf>
    <xf numFmtId="3" fontId="2" fillId="2" borderId="4" xfId="0" applyNumberFormat="1" applyFont="1" applyFill="1" applyBorder="1" applyAlignment="1">
      <alignment horizontal="left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left" wrapText="1"/>
    </xf>
    <xf numFmtId="3" fontId="0" fillId="0" borderId="0" xfId="0" applyNumberFormat="1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center" vertical="top" wrapText="1"/>
    </xf>
    <xf numFmtId="4" fontId="0" fillId="0" borderId="0" xfId="0" applyNumberFormat="1" applyAlignment="1">
      <alignment horizontal="right" wrapText="1"/>
    </xf>
    <xf numFmtId="3" fontId="0" fillId="0" borderId="0" xfId="0" applyNumberFormat="1" applyAlignment="1">
      <alignment horizontal="right" wrapText="1"/>
    </xf>
    <xf numFmtId="4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3" fontId="3" fillId="3" borderId="1" xfId="0" applyNumberFormat="1" applyFont="1" applyFill="1" applyBorder="1" applyAlignment="1">
      <alignment horizontal="center" wrapText="1"/>
    </xf>
    <xf numFmtId="4" fontId="4" fillId="0" borderId="6" xfId="0" applyNumberFormat="1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wrapText="1"/>
    </xf>
    <xf numFmtId="3" fontId="5" fillId="0" borderId="6" xfId="0" applyNumberFormat="1" applyFont="1" applyBorder="1" applyAlignment="1">
      <alignment horizontal="center" wrapText="1"/>
    </xf>
    <xf numFmtId="4" fontId="4" fillId="0" borderId="6" xfId="0" applyNumberFormat="1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4" fontId="5" fillId="4" borderId="8" xfId="0" applyNumberFormat="1" applyFont="1" applyFill="1" applyBorder="1" applyAlignment="1">
      <alignment horizontal="center" wrapText="1"/>
    </xf>
    <xf numFmtId="4" fontId="5" fillId="0" borderId="6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wrapText="1"/>
    </xf>
    <xf numFmtId="4" fontId="5" fillId="3" borderId="1" xfId="0" applyNumberFormat="1" applyFont="1" applyFill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4" fontId="5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 wrapText="1"/>
    </xf>
    <xf numFmtId="4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3" fontId="5" fillId="0" borderId="1" xfId="0" applyNumberFormat="1" applyFont="1" applyBorder="1" applyAlignment="1">
      <alignment horizontal="center" wrapText="1"/>
    </xf>
    <xf numFmtId="4" fontId="4" fillId="0" borderId="0" xfId="0" applyNumberFormat="1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3" fontId="5" fillId="0" borderId="11" xfId="0" applyNumberFormat="1" applyFont="1" applyBorder="1" applyAlignment="1">
      <alignment horizontal="center" wrapText="1"/>
    </xf>
    <xf numFmtId="3" fontId="5" fillId="0" borderId="9" xfId="0" applyNumberFormat="1" applyFont="1" applyBorder="1" applyAlignment="1">
      <alignment horizontal="center" wrapText="1"/>
    </xf>
    <xf numFmtId="4" fontId="5" fillId="0" borderId="0" xfId="0" applyNumberFormat="1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4" fontId="5" fillId="3" borderId="13" xfId="0" applyNumberFormat="1" applyFont="1" applyFill="1" applyBorder="1" applyAlignment="1">
      <alignment horizontal="center" wrapText="1"/>
    </xf>
    <xf numFmtId="0" fontId="5" fillId="0" borderId="14" xfId="0" applyFont="1" applyBorder="1" applyAlignment="1">
      <alignment horizontal="center" vertical="top" wrapText="1"/>
    </xf>
    <xf numFmtId="3" fontId="5" fillId="0" borderId="15" xfId="0" applyNumberFormat="1" applyFont="1" applyBorder="1" applyAlignment="1">
      <alignment horizontal="center" wrapText="1"/>
    </xf>
    <xf numFmtId="4" fontId="5" fillId="0" borderId="16" xfId="0" applyNumberFormat="1" applyFont="1" applyBorder="1" applyAlignment="1">
      <alignment horizontal="center" wrapText="1"/>
    </xf>
    <xf numFmtId="4" fontId="5" fillId="3" borderId="8" xfId="0" applyNumberFormat="1" applyFont="1" applyFill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3" fontId="5" fillId="0" borderId="18" xfId="0" applyNumberFormat="1" applyFont="1" applyBorder="1" applyAlignment="1">
      <alignment horizontal="center" wrapText="1"/>
    </xf>
    <xf numFmtId="4" fontId="5" fillId="0" borderId="7" xfId="0" applyNumberFormat="1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3" fontId="4" fillId="0" borderId="10" xfId="0" applyNumberFormat="1" applyFont="1" applyBorder="1" applyAlignment="1">
      <alignment horizontal="center" wrapText="1"/>
    </xf>
    <xf numFmtId="3" fontId="4" fillId="0" borderId="11" xfId="0" applyNumberFormat="1" applyFont="1" applyBorder="1" applyAlignment="1">
      <alignment horizontal="center" wrapText="1"/>
    </xf>
    <xf numFmtId="3" fontId="4" fillId="0" borderId="9" xfId="0" applyNumberFormat="1" applyFont="1" applyBorder="1" applyAlignment="1">
      <alignment horizontal="center" wrapText="1"/>
    </xf>
    <xf numFmtId="4" fontId="5" fillId="0" borderId="0" xfId="0" applyNumberFormat="1" applyFont="1" applyBorder="1" applyAlignment="1">
      <alignment horizontal="left" wrapText="1"/>
    </xf>
    <xf numFmtId="4" fontId="4" fillId="0" borderId="0" xfId="0" applyNumberFormat="1" applyFont="1" applyBorder="1" applyAlignment="1">
      <alignment horizontal="left" wrapText="1"/>
    </xf>
    <xf numFmtId="0" fontId="5" fillId="0" borderId="0" xfId="0" applyFont="1" applyBorder="1" applyAlignment="1">
      <alignment horizontal="center" wrapText="1"/>
    </xf>
    <xf numFmtId="4" fontId="4" fillId="0" borderId="12" xfId="0" applyNumberFormat="1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wrapText="1"/>
    </xf>
    <xf numFmtId="4" fontId="5" fillId="4" borderId="19" xfId="0" applyNumberFormat="1" applyFont="1" applyFill="1" applyBorder="1" applyAlignment="1">
      <alignment horizontal="center" wrapText="1"/>
    </xf>
    <xf numFmtId="4" fontId="4" fillId="0" borderId="9" xfId="0" applyNumberFormat="1" applyFont="1" applyBorder="1" applyAlignment="1">
      <alignment horizontal="center" wrapText="1"/>
    </xf>
    <xf numFmtId="4" fontId="6" fillId="0" borderId="0" xfId="0" applyNumberFormat="1" applyFont="1" applyBorder="1" applyAlignment="1">
      <alignment horizontal="right" wrapText="1"/>
    </xf>
    <xf numFmtId="0" fontId="6" fillId="0" borderId="0" xfId="0" applyFont="1" applyBorder="1" applyAlignment="1">
      <alignment horizontal="left" wrapText="1"/>
    </xf>
    <xf numFmtId="3" fontId="6" fillId="0" borderId="0" xfId="0" applyNumberFormat="1" applyFont="1" applyBorder="1" applyAlignment="1">
      <alignment horizontal="right" wrapText="1"/>
    </xf>
    <xf numFmtId="0" fontId="7" fillId="0" borderId="0" xfId="0" applyFont="1" applyBorder="1" applyAlignment="1">
      <alignment horizontal="left" wrapText="1"/>
    </xf>
    <xf numFmtId="4" fontId="8" fillId="0" borderId="0" xfId="0" applyNumberFormat="1" applyFont="1" applyBorder="1" applyAlignment="1">
      <alignment horizontal="center" wrapText="1"/>
    </xf>
    <xf numFmtId="0" fontId="0" fillId="3" borderId="0" xfId="0" applyFill="1" applyAlignment="1">
      <alignment vertical="center"/>
    </xf>
    <xf numFmtId="3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3" fontId="1" fillId="0" borderId="1" xfId="0" applyNumberFormat="1" applyFont="1" applyBorder="1"/>
    <xf numFmtId="0" fontId="1" fillId="0" borderId="1" xfId="0" applyFont="1" applyBorder="1"/>
    <xf numFmtId="0" fontId="9" fillId="0" borderId="20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6" fillId="0" borderId="0" xfId="0" applyFont="1" applyBorder="1"/>
    <xf numFmtId="3" fontId="6" fillId="0" borderId="1" xfId="0" applyNumberFormat="1" applyFont="1" applyBorder="1"/>
    <xf numFmtId="0" fontId="2" fillId="0" borderId="1" xfId="0" applyFont="1" applyBorder="1"/>
    <xf numFmtId="0" fontId="0" fillId="0" borderId="20" xfId="0" applyBorder="1" applyAlignment="1">
      <alignment vertical="center"/>
    </xf>
    <xf numFmtId="0" fontId="6" fillId="0" borderId="1" xfId="0" applyFont="1" applyBorder="1"/>
    <xf numFmtId="0" fontId="10" fillId="0" borderId="0" xfId="0" applyFont="1" applyBorder="1"/>
    <xf numFmtId="0" fontId="11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 applyBorder="1"/>
    <xf numFmtId="0" fontId="2" fillId="0" borderId="1" xfId="0" applyFont="1" applyBorder="1" applyAlignment="1">
      <alignment wrapText="1"/>
    </xf>
    <xf numFmtId="0" fontId="0" fillId="0" borderId="20" xfId="0" applyBorder="1" applyAlignment="1">
      <alignment vertical="center" wrapText="1"/>
    </xf>
    <xf numFmtId="0" fontId="12" fillId="0" borderId="20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13" fillId="0" borderId="20" xfId="0" applyFont="1" applyBorder="1" applyAlignment="1">
      <alignment vertical="center"/>
    </xf>
    <xf numFmtId="0" fontId="14" fillId="0" borderId="1" xfId="0" applyFont="1" applyBorder="1"/>
    <xf numFmtId="3" fontId="6" fillId="0" borderId="12" xfId="0" applyNumberFormat="1" applyFont="1" applyBorder="1"/>
    <xf numFmtId="0" fontId="2" fillId="0" borderId="12" xfId="0" applyFont="1" applyBorder="1"/>
    <xf numFmtId="0" fontId="14" fillId="0" borderId="10" xfId="0" applyFont="1" applyBorder="1"/>
    <xf numFmtId="3" fontId="6" fillId="0" borderId="20" xfId="0" applyNumberFormat="1" applyFont="1" applyBorder="1"/>
    <xf numFmtId="0" fontId="6" fillId="0" borderId="16" xfId="0" applyFont="1" applyBorder="1"/>
    <xf numFmtId="0" fontId="0" fillId="3" borderId="21" xfId="0" applyFill="1" applyBorder="1" applyAlignment="1">
      <alignment vertical="center"/>
    </xf>
    <xf numFmtId="0" fontId="13" fillId="3" borderId="20" xfId="0" applyFont="1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12" fillId="3" borderId="20" xfId="0" applyFont="1" applyFill="1" applyBorder="1" applyAlignment="1">
      <alignment vertical="center"/>
    </xf>
    <xf numFmtId="0" fontId="12" fillId="3" borderId="20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3" fontId="0" fillId="0" borderId="0" xfId="0" applyNumberFormat="1" applyAlignment="1">
      <alignment horizontal="right"/>
    </xf>
    <xf numFmtId="3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3" fontId="15" fillId="0" borderId="1" xfId="0" applyNumberFormat="1" applyFont="1" applyBorder="1" applyAlignment="1">
      <alignment horizontal="right"/>
    </xf>
    <xf numFmtId="3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3" fontId="16" fillId="0" borderId="1" xfId="0" applyNumberFormat="1" applyFont="1" applyBorder="1" applyAlignment="1">
      <alignment horizontal="right"/>
    </xf>
    <xf numFmtId="0" fontId="16" fillId="0" borderId="1" xfId="0" applyFont="1" applyBorder="1" applyAlignment="1">
      <alignment horizontal="left" wrapText="1"/>
    </xf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5" fillId="0" borderId="1" xfId="0" applyFont="1" applyBorder="1" applyAlignment="1">
      <alignment horizontal="center" wrapText="1"/>
    </xf>
    <xf numFmtId="3" fontId="17" fillId="0" borderId="1" xfId="0" applyNumberFormat="1" applyFont="1" applyBorder="1" applyAlignment="1">
      <alignment horizontal="center" wrapText="1"/>
    </xf>
    <xf numFmtId="3" fontId="17" fillId="0" borderId="1" xfId="0" applyNumberFormat="1" applyFont="1" applyBorder="1" applyAlignment="1">
      <alignment horizontal="center"/>
    </xf>
    <xf numFmtId="4" fontId="17" fillId="3" borderId="1" xfId="0" applyNumberFormat="1" applyFont="1" applyFill="1" applyBorder="1" applyAlignment="1">
      <alignment horizontal="center" vertical="top"/>
    </xf>
    <xf numFmtId="0" fontId="17" fillId="3" borderId="1" xfId="0" applyFont="1" applyFill="1" applyBorder="1" applyAlignment="1">
      <alignment horizontal="center" vertical="top"/>
    </xf>
    <xf numFmtId="4" fontId="17" fillId="3" borderId="1" xfId="0" applyNumberFormat="1" applyFont="1" applyFill="1" applyBorder="1" applyAlignment="1">
      <alignment horizontal="center"/>
    </xf>
    <xf numFmtId="3" fontId="15" fillId="0" borderId="1" xfId="0" applyNumberFormat="1" applyFont="1" applyBorder="1" applyAlignment="1">
      <alignment horizontal="center" wrapText="1"/>
    </xf>
    <xf numFmtId="3" fontId="18" fillId="0" borderId="1" xfId="0" applyNumberFormat="1" applyFont="1" applyBorder="1" applyAlignment="1">
      <alignment horizontal="center" wrapText="1"/>
    </xf>
    <xf numFmtId="0" fontId="17" fillId="3" borderId="1" xfId="0" applyFont="1" applyFill="1" applyBorder="1" applyAlignment="1">
      <alignment horizontal="center"/>
    </xf>
    <xf numFmtId="3" fontId="16" fillId="0" borderId="1" xfId="0" applyNumberFormat="1" applyFont="1" applyBorder="1" applyAlignment="1">
      <alignment horizontal="center" wrapText="1"/>
    </xf>
    <xf numFmtId="3" fontId="16" fillId="0" borderId="1" xfId="0" applyNumberFormat="1" applyFont="1" applyBorder="1" applyAlignment="1">
      <alignment horizontal="right" wrapText="1"/>
    </xf>
    <xf numFmtId="4" fontId="16" fillId="3" borderId="1" xfId="0" applyNumberFormat="1" applyFont="1" applyFill="1" applyBorder="1" applyAlignment="1">
      <alignment horizontal="center"/>
    </xf>
    <xf numFmtId="4" fontId="16" fillId="3" borderId="1" xfId="0" applyNumberFormat="1" applyFont="1" applyFill="1" applyBorder="1" applyAlignment="1">
      <alignment horizontal="right"/>
    </xf>
    <xf numFmtId="0" fontId="15" fillId="0" borderId="1" xfId="0" applyFont="1" applyBorder="1" applyAlignment="1">
      <alignment horizontal="left" wrapText="1"/>
    </xf>
    <xf numFmtId="3" fontId="16" fillId="3" borderId="1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left" wrapText="1"/>
    </xf>
    <xf numFmtId="3" fontId="15" fillId="3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left" wrapText="1"/>
    </xf>
    <xf numFmtId="3" fontId="16" fillId="3" borderId="1" xfId="0" applyNumberFormat="1" applyFont="1" applyFill="1" applyBorder="1" applyAlignment="1">
      <alignment horizontal="center" wrapText="1"/>
    </xf>
    <xf numFmtId="3" fontId="16" fillId="3" borderId="1" xfId="0" applyNumberFormat="1" applyFont="1" applyFill="1" applyBorder="1" applyAlignment="1">
      <alignment horizontal="right" wrapText="1"/>
    </xf>
    <xf numFmtId="3" fontId="16" fillId="0" borderId="1" xfId="0" applyNumberFormat="1" applyFont="1" applyBorder="1" applyAlignment="1">
      <alignment horizontal="left" wrapText="1"/>
    </xf>
    <xf numFmtId="0" fontId="0" fillId="0" borderId="0" xfId="0" applyAlignment="1">
      <alignment horizontal="justify" wrapText="1"/>
    </xf>
    <xf numFmtId="0" fontId="17" fillId="0" borderId="12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17" fillId="0" borderId="6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justify" wrapText="1"/>
    </xf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left" vertical="top" wrapText="1"/>
    </xf>
    <xf numFmtId="4" fontId="15" fillId="0" borderId="1" xfId="0" applyNumberFormat="1" applyFont="1" applyBorder="1" applyAlignment="1">
      <alignment horizontal="center" vertical="top" wrapText="1"/>
    </xf>
    <xf numFmtId="4" fontId="15" fillId="3" borderId="1" xfId="0" applyNumberFormat="1" applyFont="1" applyFill="1" applyBorder="1" applyAlignment="1">
      <alignment horizontal="center"/>
    </xf>
    <xf numFmtId="3" fontId="15" fillId="3" borderId="1" xfId="0" applyNumberFormat="1" applyFont="1" applyFill="1" applyBorder="1" applyAlignment="1">
      <alignment horizontal="right" wrapText="1"/>
    </xf>
    <xf numFmtId="3" fontId="15" fillId="3" borderId="1" xfId="0" applyNumberFormat="1" applyFont="1" applyFill="1" applyBorder="1" applyAlignment="1">
      <alignment horizontal="center" wrapText="1"/>
    </xf>
    <xf numFmtId="3" fontId="6" fillId="0" borderId="0" xfId="0" applyNumberFormat="1" applyFont="1" applyBorder="1" applyAlignment="1">
      <alignment horizontal="right"/>
    </xf>
    <xf numFmtId="4" fontId="15" fillId="0" borderId="1" xfId="0" applyNumberFormat="1" applyFont="1" applyBorder="1" applyAlignment="1">
      <alignment horizontal="center" wrapText="1"/>
    </xf>
    <xf numFmtId="4" fontId="15" fillId="3" borderId="1" xfId="0" applyNumberFormat="1" applyFont="1" applyFill="1" applyBorder="1" applyAlignment="1">
      <alignment horizontal="right" wrapText="1"/>
    </xf>
    <xf numFmtId="4" fontId="19" fillId="3" borderId="1" xfId="0" applyNumberFormat="1" applyFont="1" applyFill="1" applyBorder="1" applyAlignment="1">
      <alignment horizontal="right" wrapText="1"/>
    </xf>
    <xf numFmtId="4" fontId="19" fillId="3" borderId="1" xfId="0" applyNumberFormat="1" applyFont="1" applyFill="1" applyBorder="1" applyAlignment="1">
      <alignment horizontal="center" wrapText="1"/>
    </xf>
    <xf numFmtId="3" fontId="16" fillId="0" borderId="0" xfId="0" applyNumberFormat="1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7" fillId="0" borderId="1" xfId="0" applyFont="1" applyBorder="1" applyAlignment="1">
      <alignment horizontal="left" wrapText="1"/>
    </xf>
    <xf numFmtId="3" fontId="17" fillId="0" borderId="1" xfId="0" applyNumberFormat="1" applyFont="1" applyBorder="1" applyAlignment="1">
      <alignment horizontal="left" wrapText="1"/>
    </xf>
    <xf numFmtId="176" fontId="19" fillId="3" borderId="1" xfId="0" applyNumberFormat="1" applyFont="1" applyFill="1" applyBorder="1" applyAlignment="1">
      <alignment horizontal="center"/>
    </xf>
    <xf numFmtId="3" fontId="16" fillId="0" borderId="0" xfId="0" applyNumberFormat="1" applyFont="1" applyBorder="1" applyAlignment="1">
      <alignment horizontal="left" wrapText="1"/>
    </xf>
    <xf numFmtId="3" fontId="19" fillId="0" borderId="0" xfId="0" applyNumberFormat="1" applyFont="1" applyBorder="1" applyAlignment="1">
      <alignment horizontal="center" wrapText="1"/>
    </xf>
    <xf numFmtId="4" fontId="16" fillId="0" borderId="1" xfId="0" applyNumberFormat="1" applyFont="1" applyBorder="1" applyAlignment="1">
      <alignment horizontal="center" wrapText="1"/>
    </xf>
    <xf numFmtId="3" fontId="16" fillId="0" borderId="1" xfId="0" applyNumberFormat="1" applyFont="1" applyBorder="1" applyAlignment="1">
      <alignment horizontal="center" vertical="top" wrapText="1"/>
    </xf>
    <xf numFmtId="176" fontId="16" fillId="3" borderId="1" xfId="0" applyNumberFormat="1" applyFont="1" applyFill="1" applyBorder="1" applyAlignment="1">
      <alignment horizontal="center"/>
    </xf>
    <xf numFmtId="3" fontId="16" fillId="0" borderId="0" xfId="0" applyNumberFormat="1" applyFont="1" applyBorder="1" applyAlignment="1">
      <alignment horizontal="center" wrapText="1"/>
    </xf>
    <xf numFmtId="177" fontId="16" fillId="3" borderId="1" xfId="0" applyNumberFormat="1" applyFont="1" applyFill="1" applyBorder="1" applyAlignment="1">
      <alignment horizontal="right" wrapText="1"/>
    </xf>
    <xf numFmtId="4" fontId="16" fillId="0" borderId="0" xfId="0" applyNumberFormat="1" applyFont="1" applyBorder="1" applyAlignment="1">
      <alignment horizontal="right" wrapText="1"/>
    </xf>
    <xf numFmtId="4" fontId="19" fillId="3" borderId="1" xfId="0" applyNumberFormat="1" applyFont="1" applyFill="1" applyBorder="1" applyAlignment="1">
      <alignment horizontal="center"/>
    </xf>
    <xf numFmtId="3" fontId="19" fillId="3" borderId="1" xfId="0" applyNumberFormat="1" applyFont="1" applyFill="1" applyBorder="1" applyAlignment="1">
      <alignment horizontal="right" wrapText="1"/>
    </xf>
    <xf numFmtId="4" fontId="20" fillId="0" borderId="0" xfId="0" applyNumberFormat="1" applyFont="1" applyBorder="1" applyAlignment="1">
      <alignment horizontal="right" wrapText="1"/>
    </xf>
    <xf numFmtId="0" fontId="17" fillId="0" borderId="1" xfId="0" applyFont="1" applyBorder="1" applyAlignment="1">
      <alignment horizontal="left"/>
    </xf>
    <xf numFmtId="3" fontId="17" fillId="0" borderId="1" xfId="0" applyNumberFormat="1" applyFont="1" applyBorder="1" applyAlignment="1">
      <alignment horizontal="left"/>
    </xf>
    <xf numFmtId="4" fontId="19" fillId="0" borderId="0" xfId="0" applyNumberFormat="1" applyFont="1" applyBorder="1" applyAlignment="1">
      <alignment horizontal="right" wrapText="1"/>
    </xf>
    <xf numFmtId="4" fontId="15" fillId="0" borderId="1" xfId="0" applyNumberFormat="1" applyFont="1" applyBorder="1" applyAlignment="1">
      <alignment horizontal="center"/>
    </xf>
    <xf numFmtId="4" fontId="20" fillId="0" borderId="0" xfId="0" applyNumberFormat="1" applyFont="1" applyBorder="1" applyAlignment="1">
      <alignment horizontal="right"/>
    </xf>
    <xf numFmtId="4" fontId="16" fillId="0" borderId="1" xfId="0" applyNumberFormat="1" applyFont="1" applyBorder="1" applyAlignment="1">
      <alignment horizontal="center"/>
    </xf>
    <xf numFmtId="3" fontId="15" fillId="0" borderId="1" xfId="0" applyNumberFormat="1" applyFont="1" applyBorder="1" applyAlignment="1">
      <alignment horizontal="left" wrapText="1"/>
    </xf>
    <xf numFmtId="176" fontId="15" fillId="3" borderId="1" xfId="0" applyNumberFormat="1" applyFont="1" applyFill="1" applyBorder="1" applyAlignment="1">
      <alignment horizontal="center"/>
    </xf>
    <xf numFmtId="3" fontId="15" fillId="0" borderId="0" xfId="0" applyNumberFormat="1" applyFont="1" applyBorder="1" applyAlignment="1">
      <alignment horizontal="right" wrapText="1"/>
    </xf>
    <xf numFmtId="3" fontId="15" fillId="0" borderId="0" xfId="0" applyNumberFormat="1" applyFont="1" applyBorder="1" applyAlignment="1">
      <alignment horizontal="center" wrapText="1"/>
    </xf>
    <xf numFmtId="3" fontId="16" fillId="0" borderId="1" xfId="0" applyNumberFormat="1" applyFont="1" applyBorder="1" applyAlignment="1">
      <alignment horizontal="center" vertical="top"/>
    </xf>
    <xf numFmtId="3" fontId="16" fillId="0" borderId="0" xfId="0" applyNumberFormat="1" applyFont="1" applyBorder="1" applyAlignment="1">
      <alignment horizontal="right" wrapText="1"/>
    </xf>
    <xf numFmtId="3" fontId="6" fillId="0" borderId="0" xfId="0" applyNumberFormat="1" applyFont="1" applyBorder="1" applyAlignment="1">
      <alignment horizontal="left" wrapText="1"/>
    </xf>
    <xf numFmtId="3" fontId="15" fillId="0" borderId="1" xfId="0" applyNumberFormat="1" applyFont="1" applyBorder="1" applyAlignment="1">
      <alignment horizontal="left"/>
    </xf>
    <xf numFmtId="3" fontId="19" fillId="5" borderId="1" xfId="0" applyNumberFormat="1" applyFont="1" applyFill="1" applyBorder="1" applyAlignment="1">
      <alignment horizontal="center" wrapText="1"/>
    </xf>
    <xf numFmtId="3" fontId="19" fillId="5" borderId="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 vertical="top" wrapText="1"/>
    </xf>
    <xf numFmtId="0" fontId="16" fillId="0" borderId="0" xfId="0" applyFont="1" applyBorder="1" applyAlignment="1">
      <alignment horizontal="center" wrapText="1"/>
    </xf>
    <xf numFmtId="3" fontId="16" fillId="5" borderId="1" xfId="0" applyNumberFormat="1" applyFont="1" applyFill="1" applyBorder="1" applyAlignment="1">
      <alignment horizontal="center" wrapText="1"/>
    </xf>
    <xf numFmtId="4" fontId="16" fillId="5" borderId="1" xfId="0" applyNumberFormat="1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center" wrapText="1"/>
    </xf>
    <xf numFmtId="3" fontId="16" fillId="5" borderId="1" xfId="0" applyNumberFormat="1" applyFont="1" applyFill="1" applyBorder="1" applyAlignment="1">
      <alignment horizontal="center"/>
    </xf>
    <xf numFmtId="4" fontId="19" fillId="5" borderId="1" xfId="0" applyNumberFormat="1" applyFont="1" applyFill="1" applyBorder="1" applyAlignment="1">
      <alignment horizontal="center" wrapText="1"/>
    </xf>
    <xf numFmtId="3" fontId="15" fillId="5" borderId="1" xfId="0" applyNumberFormat="1" applyFont="1" applyFill="1" applyBorder="1" applyAlignment="1">
      <alignment horizontal="center" vertical="top" wrapText="1"/>
    </xf>
    <xf numFmtId="3" fontId="15" fillId="5" borderId="1" xfId="0" applyNumberFormat="1" applyFont="1" applyFill="1" applyBorder="1" applyAlignment="1">
      <alignment horizontal="center" wrapText="1"/>
    </xf>
    <xf numFmtId="3" fontId="15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right" wrapText="1"/>
    </xf>
    <xf numFmtId="3" fontId="1" fillId="0" borderId="0" xfId="0" applyNumberFormat="1" applyFont="1" applyBorder="1" applyAlignment="1">
      <alignment horizontal="left" wrapText="1"/>
    </xf>
    <xf numFmtId="3" fontId="16" fillId="0" borderId="1" xfId="0" applyNumberFormat="1" applyFont="1" applyBorder="1" applyAlignment="1">
      <alignment horizontal="left"/>
    </xf>
    <xf numFmtId="4" fontId="19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3" fontId="19" fillId="0" borderId="1" xfId="0" applyNumberFormat="1" applyFont="1" applyBorder="1" applyAlignment="1">
      <alignment horizontal="center"/>
    </xf>
    <xf numFmtId="4" fontId="6" fillId="0" borderId="0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U85"/>
  <sheetViews>
    <sheetView workbookViewId="0">
      <pane ySplit="2" topLeftCell="A3" activePane="bottomLeft" state="frozen"/>
      <selection/>
      <selection pane="bottomLeft" activeCell="A1" sqref="A1:A2"/>
    </sheetView>
  </sheetViews>
  <sheetFormatPr defaultColWidth="8.83333333333333" defaultRowHeight="13.5"/>
  <cols>
    <col min="1" max="1" width="7.66666666666667" style="134" customWidth="1"/>
    <col min="2" max="2" width="33.6666666666667" style="4" customWidth="1"/>
    <col min="3" max="3" width="8.33333333333333" style="4" customWidth="1"/>
    <col min="4" max="4" width="7.5" style="2" customWidth="1"/>
    <col min="5" max="5" width="6.33333333333333" style="2" customWidth="1"/>
    <col min="6" max="6" width="7.16666666666667" style="2" customWidth="1"/>
    <col min="7" max="7" width="7.33333333333333" style="2" customWidth="1"/>
    <col min="8" max="8" width="7.16666666666667" style="2" customWidth="1"/>
    <col min="9" max="9" width="8" style="2" customWidth="1"/>
    <col min="10" max="11" width="7.33333333333333" style="2" customWidth="1"/>
    <col min="12" max="12" width="7.5" style="2" customWidth="1"/>
    <col min="13" max="13" width="11.8333333333333" style="2" customWidth="1"/>
    <col min="14" max="14" width="23.8333333333333" style="136" customWidth="1"/>
    <col min="15" max="15" width="12.1666666666667" style="35" customWidth="1"/>
    <col min="16" max="16" width="10.8333333333333" style="35" customWidth="1"/>
    <col min="17" max="17" width="10.6666666666667" style="35" customWidth="1"/>
    <col min="18" max="18" width="8.83333333333333" style="123" customWidth="1"/>
    <col min="19" max="19" width="12.5" customWidth="1"/>
    <col min="20" max="21" width="12.5" style="3" customWidth="1"/>
  </cols>
  <sheetData>
    <row r="1" ht="28.25" customHeight="1" spans="1:21">
      <c r="A1" s="168" t="s">
        <v>0</v>
      </c>
      <c r="B1" s="164" t="s">
        <v>1</v>
      </c>
      <c r="C1" s="164" t="s">
        <v>2</v>
      </c>
      <c r="D1" s="138" t="s">
        <v>3</v>
      </c>
      <c r="E1" s="138"/>
      <c r="F1" s="138"/>
      <c r="G1" s="138"/>
      <c r="H1" s="138"/>
      <c r="I1" s="138"/>
      <c r="J1" s="139" t="s">
        <v>4</v>
      </c>
      <c r="K1" s="139"/>
      <c r="L1" s="139"/>
      <c r="M1" s="153" t="s">
        <v>5</v>
      </c>
      <c r="N1" s="169" t="s">
        <v>6</v>
      </c>
      <c r="O1" s="170">
        <f>(21+17)*10.5</f>
        <v>399</v>
      </c>
      <c r="P1" s="171" t="s">
        <v>7</v>
      </c>
      <c r="Q1" s="171" t="s">
        <v>8</v>
      </c>
      <c r="R1" s="172"/>
      <c r="T1" s="84"/>
      <c r="U1" s="84"/>
    </row>
    <row r="2" ht="24" customHeight="1" spans="1:21">
      <c r="A2" s="173"/>
      <c r="B2" s="137"/>
      <c r="C2" s="137"/>
      <c r="D2" s="138">
        <v>50</v>
      </c>
      <c r="E2" s="138">
        <v>50</v>
      </c>
      <c r="F2" s="138">
        <v>100</v>
      </c>
      <c r="G2" s="138">
        <v>200</v>
      </c>
      <c r="H2" s="138">
        <v>500</v>
      </c>
      <c r="I2" s="138">
        <v>1000</v>
      </c>
      <c r="J2" s="138">
        <v>300</v>
      </c>
      <c r="K2" s="138">
        <v>500</v>
      </c>
      <c r="L2" s="138">
        <v>1000</v>
      </c>
      <c r="M2" s="153">
        <f>SUM(M3:M84)</f>
        <v>10272.3605764411</v>
      </c>
      <c r="N2" s="169" t="s">
        <v>9</v>
      </c>
      <c r="O2" s="174">
        <f>SUM(O3:O8)+O10+O11</f>
        <v>417828.770303936</v>
      </c>
      <c r="P2" s="175">
        <f>O2/O1*10</f>
        <v>10471.8990051112</v>
      </c>
      <c r="Q2" s="176">
        <f>(O2-O10-O11)/O1*10</f>
        <v>10248.2706766917</v>
      </c>
      <c r="R2" s="177"/>
      <c r="S2" s="178"/>
      <c r="T2" s="84"/>
      <c r="U2" s="84"/>
    </row>
    <row r="3" ht="24" customHeight="1" spans="1:21">
      <c r="A3" s="138">
        <v>1</v>
      </c>
      <c r="B3" s="179" t="s">
        <v>10</v>
      </c>
      <c r="C3" s="179"/>
      <c r="D3" s="180"/>
      <c r="E3" s="180"/>
      <c r="F3" s="180"/>
      <c r="G3" s="180"/>
      <c r="H3" s="180"/>
      <c r="I3" s="180"/>
      <c r="J3" s="180"/>
      <c r="K3" s="180"/>
      <c r="L3" s="180"/>
      <c r="M3" s="181"/>
      <c r="N3" s="148" t="s">
        <v>11</v>
      </c>
      <c r="O3" s="156">
        <f>5858+5614</f>
        <v>11472</v>
      </c>
      <c r="P3" s="182"/>
      <c r="Q3" s="183"/>
      <c r="R3" s="177"/>
      <c r="T3" s="84"/>
      <c r="U3" s="84"/>
    </row>
    <row r="4" ht="24" customHeight="1" spans="1:21">
      <c r="A4" s="184">
        <v>1.1</v>
      </c>
      <c r="B4" s="166" t="s">
        <v>12</v>
      </c>
      <c r="C4" s="166" t="s">
        <v>13</v>
      </c>
      <c r="D4" s="185">
        <v>5076</v>
      </c>
      <c r="E4" s="146">
        <v>4524</v>
      </c>
      <c r="F4" s="146">
        <v>4341</v>
      </c>
      <c r="G4" s="146">
        <v>4201</v>
      </c>
      <c r="H4" s="146">
        <v>4121</v>
      </c>
      <c r="I4" s="146">
        <v>4080</v>
      </c>
      <c r="J4" s="185" t="s">
        <v>14</v>
      </c>
      <c r="K4" s="146"/>
      <c r="L4" s="146"/>
      <c r="M4" s="186"/>
      <c r="N4" s="148" t="s">
        <v>15</v>
      </c>
      <c r="O4" s="156">
        <f>99920+124495</f>
        <v>224415</v>
      </c>
      <c r="P4" s="182"/>
      <c r="Q4" s="85"/>
      <c r="R4" s="172"/>
      <c r="T4" s="84"/>
      <c r="U4" s="84"/>
    </row>
    <row r="5" ht="24" customHeight="1" spans="1:21">
      <c r="A5" s="184">
        <v>1.2</v>
      </c>
      <c r="B5" s="166" t="s">
        <v>16</v>
      </c>
      <c r="C5" s="166" t="s">
        <v>13</v>
      </c>
      <c r="D5" s="146"/>
      <c r="E5" s="146">
        <v>5027</v>
      </c>
      <c r="F5" s="146">
        <v>4838</v>
      </c>
      <c r="G5" s="146">
        <v>4532</v>
      </c>
      <c r="H5" s="146">
        <v>4370</v>
      </c>
      <c r="I5" s="146" t="s">
        <v>14</v>
      </c>
      <c r="J5" s="146"/>
      <c r="K5" s="146"/>
      <c r="L5" s="146"/>
      <c r="M5" s="186"/>
      <c r="N5" s="148" t="s">
        <v>17</v>
      </c>
      <c r="O5" s="156">
        <f>50765+54138</f>
        <v>104903</v>
      </c>
      <c r="P5" s="85"/>
      <c r="Q5" s="85"/>
      <c r="R5" s="172"/>
      <c r="T5" s="84"/>
      <c r="U5" s="84"/>
    </row>
    <row r="6" ht="24" customHeight="1" spans="1:21">
      <c r="A6" s="184">
        <v>1.3</v>
      </c>
      <c r="B6" s="166" t="s">
        <v>18</v>
      </c>
      <c r="C6" s="166" t="s">
        <v>13</v>
      </c>
      <c r="D6" s="146" t="s">
        <v>14</v>
      </c>
      <c r="E6" s="146">
        <v>5419</v>
      </c>
      <c r="F6" s="146">
        <v>5203</v>
      </c>
      <c r="G6" s="146">
        <v>4912</v>
      </c>
      <c r="H6" s="146">
        <v>4795</v>
      </c>
      <c r="I6" s="146" t="s">
        <v>14</v>
      </c>
      <c r="J6" s="146"/>
      <c r="K6" s="146"/>
      <c r="L6" s="146"/>
      <c r="M6" s="186"/>
      <c r="N6" s="148" t="s">
        <v>19</v>
      </c>
      <c r="O6" s="156">
        <f>34831+19975</f>
        <v>54806</v>
      </c>
      <c r="P6" s="85"/>
      <c r="Q6" s="85"/>
      <c r="R6" s="172"/>
      <c r="T6" s="84"/>
      <c r="U6" s="84"/>
    </row>
    <row r="7" ht="24" customHeight="1" spans="1:21">
      <c r="A7" s="184">
        <v>1.4</v>
      </c>
      <c r="B7" s="166" t="s">
        <v>20</v>
      </c>
      <c r="C7" s="166" t="s">
        <v>13</v>
      </c>
      <c r="D7" s="185" t="s">
        <v>14</v>
      </c>
      <c r="E7" s="146"/>
      <c r="F7" s="146"/>
      <c r="G7" s="146"/>
      <c r="H7" s="146"/>
      <c r="I7" s="146"/>
      <c r="J7" s="128">
        <v>10977</v>
      </c>
      <c r="K7" s="128">
        <v>9981</v>
      </c>
      <c r="L7" s="128">
        <v>9399</v>
      </c>
      <c r="M7" s="148">
        <f>TREND(J7:K7,J2:K2,O1)</f>
        <v>10483.98</v>
      </c>
      <c r="N7" s="148" t="s">
        <v>21</v>
      </c>
      <c r="O7" s="156">
        <f>3827+4051</f>
        <v>7878</v>
      </c>
      <c r="P7" s="187"/>
      <c r="Q7" s="182"/>
      <c r="R7" s="172"/>
      <c r="T7" s="84"/>
      <c r="U7" s="84"/>
    </row>
    <row r="8" ht="24" customHeight="1" spans="1:21">
      <c r="A8" s="184">
        <v>1.5</v>
      </c>
      <c r="B8" s="166" t="s">
        <v>22</v>
      </c>
      <c r="C8" s="166" t="s">
        <v>13</v>
      </c>
      <c r="D8" s="146"/>
      <c r="E8" s="146"/>
      <c r="F8" s="146"/>
      <c r="G8" s="146"/>
      <c r="H8" s="146"/>
      <c r="I8" s="146"/>
      <c r="J8" s="128">
        <v>11052</v>
      </c>
      <c r="K8" s="128">
        <v>10044</v>
      </c>
      <c r="L8" s="128">
        <v>9455</v>
      </c>
      <c r="M8" s="186"/>
      <c r="N8" s="148" t="s">
        <v>23</v>
      </c>
      <c r="O8" s="156">
        <f>2541+2891</f>
        <v>5432</v>
      </c>
      <c r="P8" s="182"/>
      <c r="Q8" s="182"/>
      <c r="R8" s="172"/>
      <c r="T8" s="84"/>
      <c r="U8" s="84"/>
    </row>
    <row r="9" ht="24" customHeight="1" spans="1:21">
      <c r="A9" s="184">
        <v>1.6</v>
      </c>
      <c r="B9" s="166" t="s">
        <v>24</v>
      </c>
      <c r="C9" s="166" t="s">
        <v>13</v>
      </c>
      <c r="D9" s="146"/>
      <c r="E9" s="146"/>
      <c r="F9" s="146"/>
      <c r="G9" s="146"/>
      <c r="H9" s="146"/>
      <c r="I9" s="146"/>
      <c r="J9" s="128">
        <v>12132</v>
      </c>
      <c r="K9" s="128">
        <v>11049</v>
      </c>
      <c r="L9" s="128">
        <v>10393</v>
      </c>
      <c r="M9" s="186"/>
      <c r="N9" s="148" t="s">
        <v>25</v>
      </c>
      <c r="O9" s="188">
        <v>0.035</v>
      </c>
      <c r="P9" s="189"/>
      <c r="Q9" s="182"/>
      <c r="R9" s="172"/>
      <c r="T9" s="84"/>
      <c r="U9" s="84"/>
    </row>
    <row r="10" ht="24" customHeight="1" spans="1:21">
      <c r="A10" s="184">
        <v>1.7</v>
      </c>
      <c r="B10" s="166" t="s">
        <v>26</v>
      </c>
      <c r="C10" s="166" t="s">
        <v>13</v>
      </c>
      <c r="D10" s="146"/>
      <c r="E10" s="146"/>
      <c r="F10" s="146"/>
      <c r="G10" s="146"/>
      <c r="H10" s="146"/>
      <c r="I10" s="146"/>
      <c r="J10" s="128">
        <v>11490</v>
      </c>
      <c r="K10" s="128">
        <v>10461</v>
      </c>
      <c r="L10" s="128">
        <v>9836</v>
      </c>
      <c r="M10" s="186"/>
      <c r="N10" s="190" t="s">
        <v>27</v>
      </c>
      <c r="O10" s="191">
        <f>2000+5000+1800</f>
        <v>8800</v>
      </c>
      <c r="P10" s="192"/>
      <c r="Q10" s="182"/>
      <c r="R10" s="172"/>
      <c r="T10" s="84"/>
      <c r="U10" s="84"/>
    </row>
    <row r="11" ht="24" customHeight="1" spans="1:21">
      <c r="A11" s="139">
        <v>2</v>
      </c>
      <c r="B11" s="193" t="s">
        <v>28</v>
      </c>
      <c r="C11" s="193"/>
      <c r="D11" s="194"/>
      <c r="E11" s="194"/>
      <c r="F11" s="194"/>
      <c r="G11" s="194"/>
      <c r="H11" s="194"/>
      <c r="I11" s="194"/>
      <c r="J11" s="194"/>
      <c r="K11" s="194"/>
      <c r="L11" s="194"/>
      <c r="M11" s="181"/>
      <c r="N11" s="190" t="s">
        <v>29</v>
      </c>
      <c r="O11" s="175">
        <f>O10*80%*O9/(2*12/12+20%*O9)</f>
        <v>122.770303936223</v>
      </c>
      <c r="P11" s="195"/>
      <c r="Q11" s="183"/>
      <c r="R11" s="172"/>
      <c r="T11" s="84"/>
      <c r="U11" s="84"/>
    </row>
    <row r="12" ht="24" customHeight="1" spans="1:21">
      <c r="A12" s="196">
        <v>2.1</v>
      </c>
      <c r="B12" s="125" t="s">
        <v>30</v>
      </c>
      <c r="C12" s="130"/>
      <c r="D12" s="128"/>
      <c r="E12" s="128"/>
      <c r="F12" s="128"/>
      <c r="G12" s="128"/>
      <c r="H12" s="128"/>
      <c r="I12" s="128"/>
      <c r="J12" s="128"/>
      <c r="K12" s="128"/>
      <c r="L12" s="128"/>
      <c r="M12" s="186"/>
      <c r="N12" s="197"/>
      <c r="O12" s="85"/>
      <c r="P12" s="85"/>
      <c r="Q12" s="85"/>
      <c r="R12" s="172"/>
      <c r="T12" s="84"/>
      <c r="U12" s="84"/>
    </row>
    <row r="13" ht="24" customHeight="1" spans="1:21">
      <c r="A13" s="198" t="s">
        <v>31</v>
      </c>
      <c r="B13" s="130" t="s">
        <v>32</v>
      </c>
      <c r="C13" s="166" t="s">
        <v>13</v>
      </c>
      <c r="D13" s="128" t="s">
        <v>33</v>
      </c>
      <c r="E13" s="128"/>
      <c r="F13" s="128"/>
      <c r="G13" s="128"/>
      <c r="H13" s="128"/>
      <c r="I13" s="128"/>
      <c r="J13" s="128"/>
      <c r="K13" s="128"/>
      <c r="L13" s="128"/>
      <c r="M13" s="151">
        <f>N13-3500</f>
        <v>55</v>
      </c>
      <c r="N13" s="197">
        <v>3555</v>
      </c>
      <c r="O13" s="85"/>
      <c r="P13" s="85"/>
      <c r="Q13" s="85"/>
      <c r="R13" s="172"/>
      <c r="T13" s="84"/>
      <c r="U13" s="84"/>
    </row>
    <row r="14" ht="24" customHeight="1" spans="1:21">
      <c r="A14" s="196">
        <v>2.2</v>
      </c>
      <c r="B14" s="125" t="s">
        <v>34</v>
      </c>
      <c r="C14" s="150" t="s">
        <v>35</v>
      </c>
      <c r="D14" s="199"/>
      <c r="E14" s="199"/>
      <c r="F14" s="199"/>
      <c r="G14" s="199"/>
      <c r="H14" s="199"/>
      <c r="I14" s="199"/>
      <c r="J14" s="199"/>
      <c r="K14" s="199"/>
      <c r="L14" s="199"/>
      <c r="M14" s="200"/>
      <c r="N14" s="197" t="s">
        <v>36</v>
      </c>
      <c r="O14" s="201"/>
      <c r="P14" s="202"/>
      <c r="Q14" s="202"/>
      <c r="R14" s="172"/>
      <c r="T14" s="84"/>
      <c r="U14" s="84"/>
    </row>
    <row r="15" ht="24" customHeight="1" spans="1:21">
      <c r="A15" s="198" t="s">
        <v>37</v>
      </c>
      <c r="B15" s="130" t="s">
        <v>38</v>
      </c>
      <c r="C15" s="166" t="s">
        <v>13</v>
      </c>
      <c r="D15" s="198">
        <v>-61.54</v>
      </c>
      <c r="E15" s="128"/>
      <c r="F15" s="128"/>
      <c r="G15" s="128"/>
      <c r="H15" s="128"/>
      <c r="I15" s="128"/>
      <c r="J15" s="128" t="s">
        <v>14</v>
      </c>
      <c r="K15" s="128"/>
      <c r="L15" s="128"/>
      <c r="M15" s="186"/>
      <c r="N15" s="197"/>
      <c r="O15" s="85"/>
      <c r="P15" s="85"/>
      <c r="Q15" s="85"/>
      <c r="R15" s="172"/>
      <c r="T15" s="84"/>
      <c r="U15" s="84"/>
    </row>
    <row r="16" ht="24" customHeight="1" spans="1:21">
      <c r="A16" s="198" t="s">
        <v>39</v>
      </c>
      <c r="B16" s="130" t="s">
        <v>40</v>
      </c>
      <c r="C16" s="166" t="s">
        <v>13</v>
      </c>
      <c r="D16" s="198">
        <v>-53.33</v>
      </c>
      <c r="E16" s="128"/>
      <c r="F16" s="128"/>
      <c r="G16" s="128"/>
      <c r="H16" s="128"/>
      <c r="I16" s="128"/>
      <c r="J16" s="128" t="s">
        <v>14</v>
      </c>
      <c r="K16" s="128"/>
      <c r="L16" s="128"/>
      <c r="M16" s="186"/>
      <c r="N16" s="197"/>
      <c r="O16" s="85"/>
      <c r="P16" s="85"/>
      <c r="Q16" s="85"/>
      <c r="R16" s="172"/>
      <c r="T16" s="84"/>
      <c r="U16" s="84"/>
    </row>
    <row r="17" ht="24" customHeight="1" spans="1:21">
      <c r="A17" s="198" t="s">
        <v>41</v>
      </c>
      <c r="B17" s="130" t="s">
        <v>42</v>
      </c>
      <c r="C17" s="166" t="s">
        <v>13</v>
      </c>
      <c r="D17" s="203" t="s">
        <v>14</v>
      </c>
      <c r="E17" s="128"/>
      <c r="F17" s="128"/>
      <c r="G17" s="128"/>
      <c r="H17" s="128"/>
      <c r="I17" s="128"/>
      <c r="J17" s="128">
        <v>100</v>
      </c>
      <c r="K17" s="128">
        <v>100</v>
      </c>
      <c r="L17" s="128">
        <v>100</v>
      </c>
      <c r="M17" s="186"/>
      <c r="N17" s="197"/>
      <c r="O17" s="204"/>
      <c r="P17" s="205"/>
      <c r="Q17" s="205"/>
      <c r="R17" s="172"/>
      <c r="T17" s="84"/>
      <c r="U17" s="84"/>
    </row>
    <row r="18" ht="24" customHeight="1" spans="1:21">
      <c r="A18" s="198" t="s">
        <v>43</v>
      </c>
      <c r="B18" s="130" t="s">
        <v>44</v>
      </c>
      <c r="C18" s="166" t="s">
        <v>13</v>
      </c>
      <c r="D18" s="128"/>
      <c r="E18" s="128"/>
      <c r="F18" s="128"/>
      <c r="G18" s="128"/>
      <c r="H18" s="128"/>
      <c r="I18" s="128"/>
      <c r="J18" s="128">
        <v>0</v>
      </c>
      <c r="K18" s="128">
        <v>0</v>
      </c>
      <c r="L18" s="128">
        <v>0</v>
      </c>
      <c r="M18" s="151">
        <f>0</f>
        <v>0</v>
      </c>
      <c r="N18" s="197"/>
      <c r="O18" s="204"/>
      <c r="P18" s="205"/>
      <c r="Q18" s="205"/>
      <c r="R18" s="172"/>
      <c r="T18" s="84"/>
      <c r="U18" s="84"/>
    </row>
    <row r="19" ht="24" customHeight="1" spans="1:21">
      <c r="A19" s="198" t="s">
        <v>45</v>
      </c>
      <c r="B19" s="130" t="s">
        <v>46</v>
      </c>
      <c r="C19" s="166" t="s">
        <v>13</v>
      </c>
      <c r="D19" s="128"/>
      <c r="E19" s="128"/>
      <c r="F19" s="128"/>
      <c r="G19" s="128"/>
      <c r="H19" s="128"/>
      <c r="I19" s="128"/>
      <c r="J19" s="128">
        <v>-10</v>
      </c>
      <c r="K19" s="128">
        <v>-10</v>
      </c>
      <c r="L19" s="128">
        <v>-10</v>
      </c>
      <c r="M19" s="186"/>
      <c r="N19" s="197"/>
      <c r="O19" s="204"/>
      <c r="P19" s="205"/>
      <c r="Q19" s="205"/>
      <c r="R19" s="172"/>
      <c r="T19" s="84"/>
      <c r="U19" s="84"/>
    </row>
    <row r="20" ht="24" customHeight="1" spans="1:21">
      <c r="A20" s="198" t="s">
        <v>47</v>
      </c>
      <c r="B20" s="130" t="s">
        <v>48</v>
      </c>
      <c r="C20" s="166" t="s">
        <v>13</v>
      </c>
      <c r="D20" s="128"/>
      <c r="E20" s="128"/>
      <c r="F20" s="128"/>
      <c r="G20" s="128"/>
      <c r="H20" s="128"/>
      <c r="I20" s="128"/>
      <c r="J20" s="128">
        <v>-20</v>
      </c>
      <c r="K20" s="128">
        <v>-20</v>
      </c>
      <c r="L20" s="128">
        <v>-20</v>
      </c>
      <c r="M20" s="186"/>
      <c r="N20" s="197"/>
      <c r="O20" s="204"/>
      <c r="P20" s="205"/>
      <c r="Q20" s="205"/>
      <c r="R20" s="172"/>
      <c r="T20" s="84"/>
      <c r="U20" s="84"/>
    </row>
    <row r="21" ht="24" customHeight="1" spans="1:21">
      <c r="A21" s="198" t="s">
        <v>49</v>
      </c>
      <c r="B21" s="130" t="s">
        <v>50</v>
      </c>
      <c r="C21" s="166" t="s">
        <v>13</v>
      </c>
      <c r="D21" s="128"/>
      <c r="E21" s="128"/>
      <c r="F21" s="128"/>
      <c r="G21" s="128"/>
      <c r="H21" s="128"/>
      <c r="I21" s="128"/>
      <c r="J21" s="128">
        <v>-7</v>
      </c>
      <c r="K21" s="128">
        <v>-7</v>
      </c>
      <c r="L21" s="128">
        <v>-7</v>
      </c>
      <c r="M21" s="186"/>
      <c r="N21" s="197"/>
      <c r="O21" s="204"/>
      <c r="P21" s="205"/>
      <c r="Q21" s="205"/>
      <c r="R21" s="172"/>
      <c r="T21" s="84"/>
      <c r="U21" s="84"/>
    </row>
    <row r="22" ht="24" customHeight="1" spans="1:21">
      <c r="A22" s="196">
        <v>2.3</v>
      </c>
      <c r="B22" s="125" t="s">
        <v>51</v>
      </c>
      <c r="C22" s="126"/>
      <c r="D22" s="206"/>
      <c r="E22" s="206"/>
      <c r="F22" s="206"/>
      <c r="G22" s="206"/>
      <c r="H22" s="206"/>
      <c r="I22" s="206"/>
      <c r="J22" s="206"/>
      <c r="K22" s="206"/>
      <c r="L22" s="206"/>
      <c r="M22" s="186"/>
      <c r="N22" s="197" t="s">
        <v>52</v>
      </c>
      <c r="O22" s="204"/>
      <c r="P22" s="202"/>
      <c r="Q22" s="202"/>
      <c r="R22" s="172"/>
      <c r="T22" s="84"/>
      <c r="U22" s="84"/>
    </row>
    <row r="23" ht="24" customHeight="1" spans="1:21">
      <c r="A23" s="198" t="s">
        <v>53</v>
      </c>
      <c r="B23" s="130" t="s">
        <v>54</v>
      </c>
      <c r="C23" s="130" t="s">
        <v>55</v>
      </c>
      <c r="D23" s="128" t="s">
        <v>14</v>
      </c>
      <c r="E23" s="128">
        <v>0</v>
      </c>
      <c r="F23" s="128">
        <v>0</v>
      </c>
      <c r="G23" s="128">
        <v>0</v>
      </c>
      <c r="H23" s="128">
        <v>0</v>
      </c>
      <c r="I23" s="128">
        <v>0</v>
      </c>
      <c r="J23" s="128" t="s">
        <v>14</v>
      </c>
      <c r="K23" s="128"/>
      <c r="L23" s="128"/>
      <c r="M23" s="186"/>
      <c r="N23" s="197"/>
      <c r="O23" s="85"/>
      <c r="P23" s="85"/>
      <c r="Q23" s="85"/>
      <c r="R23" s="172"/>
      <c r="T23" s="84"/>
      <c r="U23" s="84"/>
    </row>
    <row r="24" ht="24" customHeight="1" spans="1:21">
      <c r="A24" s="198" t="s">
        <v>56</v>
      </c>
      <c r="B24" s="130" t="s">
        <v>57</v>
      </c>
      <c r="C24" s="130" t="s">
        <v>55</v>
      </c>
      <c r="D24" s="128" t="s">
        <v>14</v>
      </c>
      <c r="E24" s="128">
        <v>10</v>
      </c>
      <c r="F24" s="128">
        <v>10</v>
      </c>
      <c r="G24" s="128">
        <v>10</v>
      </c>
      <c r="H24" s="128">
        <v>10</v>
      </c>
      <c r="I24" s="128">
        <v>10</v>
      </c>
      <c r="J24" s="128" t="s">
        <v>14</v>
      </c>
      <c r="K24" s="128"/>
      <c r="L24" s="128"/>
      <c r="M24" s="186"/>
      <c r="N24" s="197"/>
      <c r="O24" s="85"/>
      <c r="P24" s="85"/>
      <c r="Q24" s="85"/>
      <c r="R24" s="172"/>
      <c r="T24" s="84"/>
      <c r="U24" s="84"/>
    </row>
    <row r="25" ht="24" customHeight="1" spans="1:21">
      <c r="A25" s="198" t="s">
        <v>58</v>
      </c>
      <c r="B25" s="130" t="s">
        <v>59</v>
      </c>
      <c r="C25" s="130" t="s">
        <v>55</v>
      </c>
      <c r="D25" s="128" t="s">
        <v>14</v>
      </c>
      <c r="E25" s="128">
        <v>20</v>
      </c>
      <c r="F25" s="128">
        <v>20</v>
      </c>
      <c r="G25" s="128">
        <v>20</v>
      </c>
      <c r="H25" s="128">
        <v>20</v>
      </c>
      <c r="I25" s="128">
        <v>20</v>
      </c>
      <c r="J25" s="128" t="s">
        <v>14</v>
      </c>
      <c r="K25" s="128"/>
      <c r="L25" s="128"/>
      <c r="M25" s="186"/>
      <c r="N25" s="197"/>
      <c r="O25" s="85"/>
      <c r="P25" s="85"/>
      <c r="Q25" s="85"/>
      <c r="R25" s="172"/>
      <c r="T25" s="84"/>
      <c r="U25" s="84"/>
    </row>
    <row r="26" ht="24" customHeight="1" spans="1:21">
      <c r="A26" s="198" t="s">
        <v>60</v>
      </c>
      <c r="B26" s="130" t="s">
        <v>61</v>
      </c>
      <c r="C26" s="130" t="s">
        <v>55</v>
      </c>
      <c r="D26" s="128" t="s">
        <v>14</v>
      </c>
      <c r="E26" s="128">
        <v>30</v>
      </c>
      <c r="F26" s="128">
        <v>30</v>
      </c>
      <c r="G26" s="128">
        <v>30</v>
      </c>
      <c r="H26" s="128">
        <v>30</v>
      </c>
      <c r="I26" s="128">
        <v>30</v>
      </c>
      <c r="J26" s="128" t="s">
        <v>14</v>
      </c>
      <c r="K26" s="128"/>
      <c r="L26" s="128"/>
      <c r="M26" s="186"/>
      <c r="N26" s="197"/>
      <c r="O26" s="85"/>
      <c r="P26" s="85"/>
      <c r="Q26" s="85"/>
      <c r="R26" s="172"/>
      <c r="T26" s="84"/>
      <c r="U26" s="84"/>
    </row>
    <row r="27" ht="24" customHeight="1" spans="1:21">
      <c r="A27" s="196">
        <v>2.4</v>
      </c>
      <c r="B27" s="125" t="s">
        <v>62</v>
      </c>
      <c r="C27" s="126"/>
      <c r="D27" s="206"/>
      <c r="E27" s="206"/>
      <c r="F27" s="206"/>
      <c r="G27" s="206"/>
      <c r="H27" s="206"/>
      <c r="I27" s="206"/>
      <c r="J27" s="206"/>
      <c r="K27" s="206"/>
      <c r="L27" s="206"/>
      <c r="M27" s="186"/>
      <c r="N27" s="197" t="s">
        <v>63</v>
      </c>
      <c r="O27" s="201"/>
      <c r="P27" s="202"/>
      <c r="Q27" s="202"/>
      <c r="R27" s="172"/>
      <c r="T27" s="84"/>
      <c r="U27" s="84"/>
    </row>
    <row r="28" ht="24" customHeight="1" spans="1:21">
      <c r="A28" s="198" t="s">
        <v>64</v>
      </c>
      <c r="B28" s="130" t="s">
        <v>65</v>
      </c>
      <c r="C28" s="130" t="s">
        <v>66</v>
      </c>
      <c r="D28" s="128">
        <v>460</v>
      </c>
      <c r="E28" s="128"/>
      <c r="F28" s="128"/>
      <c r="G28" s="128"/>
      <c r="H28" s="128"/>
      <c r="I28" s="128"/>
      <c r="J28" s="128" t="s">
        <v>14</v>
      </c>
      <c r="K28" s="128"/>
      <c r="L28" s="128"/>
      <c r="M28" s="186"/>
      <c r="N28" s="197"/>
      <c r="O28" s="85"/>
      <c r="P28" s="85"/>
      <c r="Q28" s="85"/>
      <c r="R28" s="172"/>
      <c r="T28" s="84"/>
      <c r="U28" s="84"/>
    </row>
    <row r="29" ht="24" customHeight="1" spans="1:21">
      <c r="A29" s="198" t="s">
        <v>67</v>
      </c>
      <c r="B29" s="130" t="s">
        <v>68</v>
      </c>
      <c r="C29" s="130" t="s">
        <v>66</v>
      </c>
      <c r="D29" s="128">
        <v>750</v>
      </c>
      <c r="E29" s="128"/>
      <c r="F29" s="128"/>
      <c r="G29" s="128"/>
      <c r="H29" s="128"/>
      <c r="I29" s="128"/>
      <c r="J29" s="128" t="s">
        <v>14</v>
      </c>
      <c r="K29" s="128"/>
      <c r="L29" s="128"/>
      <c r="M29" s="186"/>
      <c r="N29" s="197"/>
      <c r="O29" s="85"/>
      <c r="P29" s="85"/>
      <c r="Q29" s="85"/>
      <c r="R29" s="172"/>
      <c r="T29" s="84"/>
      <c r="U29" s="84"/>
    </row>
    <row r="30" ht="24" customHeight="1" spans="1:21">
      <c r="A30" s="198" t="s">
        <v>69</v>
      </c>
      <c r="B30" s="130" t="s">
        <v>70</v>
      </c>
      <c r="C30" s="130" t="s">
        <v>66</v>
      </c>
      <c r="D30" s="203" t="s">
        <v>14</v>
      </c>
      <c r="E30" s="128"/>
      <c r="F30" s="128"/>
      <c r="G30" s="128"/>
      <c r="H30" s="128"/>
      <c r="I30" s="128"/>
      <c r="J30" s="128">
        <v>230200</v>
      </c>
      <c r="K30" s="128"/>
      <c r="L30" s="128"/>
      <c r="M30" s="186">
        <f>(79*38-100*27)*J30/(O1*10^3)</f>
        <v>174.236591478697</v>
      </c>
      <c r="N30" s="197"/>
      <c r="O30" s="204"/>
      <c r="P30" s="205"/>
      <c r="Q30" s="205"/>
      <c r="R30" s="172"/>
      <c r="T30" s="84"/>
      <c r="U30" s="84"/>
    </row>
    <row r="31" ht="24" customHeight="1" spans="1:21">
      <c r="A31" s="198" t="s">
        <v>71</v>
      </c>
      <c r="B31" s="130" t="s">
        <v>72</v>
      </c>
      <c r="C31" s="130" t="s">
        <v>66</v>
      </c>
      <c r="D31" s="128"/>
      <c r="E31" s="128"/>
      <c r="F31" s="128"/>
      <c r="G31" s="128"/>
      <c r="H31" s="128"/>
      <c r="I31" s="128"/>
      <c r="J31" s="128">
        <v>350000</v>
      </c>
      <c r="K31" s="128"/>
      <c r="L31" s="128"/>
      <c r="M31" s="186"/>
      <c r="N31" s="197"/>
      <c r="O31" s="182"/>
      <c r="P31" s="205"/>
      <c r="Q31" s="205"/>
      <c r="R31" s="172"/>
      <c r="T31" s="84"/>
      <c r="U31" s="84"/>
    </row>
    <row r="32" ht="24" customHeight="1" spans="1:21">
      <c r="A32" s="198" t="s">
        <v>73</v>
      </c>
      <c r="B32" s="130" t="s">
        <v>74</v>
      </c>
      <c r="C32" s="130" t="s">
        <v>66</v>
      </c>
      <c r="D32" s="128"/>
      <c r="E32" s="128"/>
      <c r="F32" s="128"/>
      <c r="G32" s="128"/>
      <c r="H32" s="128"/>
      <c r="I32" s="128"/>
      <c r="J32" s="128">
        <v>330000</v>
      </c>
      <c r="K32" s="128"/>
      <c r="L32" s="128"/>
      <c r="M32" s="186"/>
      <c r="N32" s="197"/>
      <c r="O32" s="204"/>
      <c r="P32" s="205"/>
      <c r="Q32" s="205"/>
      <c r="R32" s="172"/>
      <c r="T32" s="84"/>
      <c r="U32" s="84"/>
    </row>
    <row r="33" ht="24" customHeight="1" spans="1:21">
      <c r="A33" s="196">
        <v>2.5</v>
      </c>
      <c r="B33" s="125" t="s">
        <v>75</v>
      </c>
      <c r="C33" s="125"/>
      <c r="D33" s="124"/>
      <c r="E33" s="124"/>
      <c r="F33" s="124"/>
      <c r="G33" s="124"/>
      <c r="H33" s="124"/>
      <c r="I33" s="124"/>
      <c r="J33" s="124"/>
      <c r="K33" s="124"/>
      <c r="L33" s="124"/>
      <c r="M33" s="151">
        <v>0</v>
      </c>
      <c r="N33" s="197"/>
      <c r="O33" s="201"/>
      <c r="P33" s="202"/>
      <c r="Q33" s="202"/>
      <c r="R33" s="172"/>
      <c r="T33" s="84"/>
      <c r="U33" s="84"/>
    </row>
    <row r="34" ht="24" customHeight="1" spans="1:21">
      <c r="A34" s="198" t="s">
        <v>76</v>
      </c>
      <c r="B34" s="130" t="s">
        <v>77</v>
      </c>
      <c r="C34" s="130" t="s">
        <v>13</v>
      </c>
      <c r="D34" s="128">
        <v>-20</v>
      </c>
      <c r="E34" s="128"/>
      <c r="F34" s="128"/>
      <c r="G34" s="128"/>
      <c r="H34" s="128"/>
      <c r="I34" s="128"/>
      <c r="J34" s="128" t="s">
        <v>14</v>
      </c>
      <c r="K34" s="128"/>
      <c r="L34" s="128"/>
      <c r="M34" s="186"/>
      <c r="N34" s="197"/>
      <c r="O34" s="85"/>
      <c r="P34" s="85"/>
      <c r="Q34" s="85"/>
      <c r="R34" s="172"/>
      <c r="T34" s="84"/>
      <c r="U34" s="84"/>
    </row>
    <row r="35" ht="24" customHeight="1" spans="1:21">
      <c r="A35" s="196">
        <v>2.6</v>
      </c>
      <c r="B35" s="125" t="s">
        <v>78</v>
      </c>
      <c r="C35" s="126" t="s">
        <v>79</v>
      </c>
      <c r="D35" s="206"/>
      <c r="E35" s="206"/>
      <c r="F35" s="206"/>
      <c r="G35" s="206"/>
      <c r="H35" s="206"/>
      <c r="I35" s="206"/>
      <c r="J35" s="206"/>
      <c r="K35" s="206"/>
      <c r="L35" s="206"/>
      <c r="M35" s="151">
        <v>0</v>
      </c>
      <c r="N35" s="197"/>
      <c r="O35" s="201"/>
      <c r="P35" s="202"/>
      <c r="Q35" s="202"/>
      <c r="R35" s="172"/>
      <c r="T35" s="84"/>
      <c r="U35" s="84"/>
    </row>
    <row r="36" ht="24" customHeight="1" spans="1:21">
      <c r="A36" s="198" t="s">
        <v>80</v>
      </c>
      <c r="B36" s="130" t="s">
        <v>81</v>
      </c>
      <c r="C36" s="130" t="s">
        <v>82</v>
      </c>
      <c r="D36" s="128" t="s">
        <v>14</v>
      </c>
      <c r="E36" s="128">
        <v>450000</v>
      </c>
      <c r="F36" s="128"/>
      <c r="G36" s="128"/>
      <c r="H36" s="128"/>
      <c r="I36" s="128"/>
      <c r="J36" s="128" t="s">
        <v>14</v>
      </c>
      <c r="K36" s="128"/>
      <c r="L36" s="128"/>
      <c r="M36" s="186"/>
      <c r="N36" s="197"/>
      <c r="O36" s="85"/>
      <c r="P36" s="85"/>
      <c r="Q36" s="85"/>
      <c r="R36" s="172"/>
      <c r="T36" s="84"/>
      <c r="U36" s="84"/>
    </row>
    <row r="37" ht="24" customHeight="1" spans="1:21">
      <c r="A37" s="198" t="s">
        <v>83</v>
      </c>
      <c r="B37" s="130" t="s">
        <v>84</v>
      </c>
      <c r="C37" s="130" t="s">
        <v>82</v>
      </c>
      <c r="D37" s="128" t="s">
        <v>14</v>
      </c>
      <c r="E37" s="128">
        <v>520000</v>
      </c>
      <c r="F37" s="128"/>
      <c r="G37" s="128"/>
      <c r="H37" s="128"/>
      <c r="I37" s="128"/>
      <c r="J37" s="128" t="s">
        <v>14</v>
      </c>
      <c r="K37" s="128"/>
      <c r="L37" s="128"/>
      <c r="M37" s="186"/>
      <c r="N37" s="197"/>
      <c r="O37" s="85"/>
      <c r="P37" s="85"/>
      <c r="Q37" s="85"/>
      <c r="R37" s="172"/>
      <c r="T37" s="84"/>
      <c r="U37" s="84"/>
    </row>
    <row r="38" ht="24" customHeight="1" spans="1:21">
      <c r="A38" s="198" t="s">
        <v>85</v>
      </c>
      <c r="B38" s="130" t="s">
        <v>86</v>
      </c>
      <c r="C38" s="130" t="s">
        <v>82</v>
      </c>
      <c r="D38" s="128" t="s">
        <v>14</v>
      </c>
      <c r="E38" s="128">
        <v>650000</v>
      </c>
      <c r="F38" s="128"/>
      <c r="G38" s="128"/>
      <c r="H38" s="128"/>
      <c r="I38" s="128"/>
      <c r="J38" s="128" t="s">
        <v>14</v>
      </c>
      <c r="K38" s="128"/>
      <c r="L38" s="128"/>
      <c r="M38" s="186"/>
      <c r="N38" s="197"/>
      <c r="O38" s="85"/>
      <c r="P38" s="85"/>
      <c r="Q38" s="85"/>
      <c r="R38" s="172"/>
      <c r="T38" s="84"/>
      <c r="U38" s="84"/>
    </row>
    <row r="39" ht="24" customHeight="1" spans="1:21">
      <c r="A39" s="198" t="s">
        <v>87</v>
      </c>
      <c r="B39" s="130" t="s">
        <v>88</v>
      </c>
      <c r="C39" s="130" t="s">
        <v>82</v>
      </c>
      <c r="D39" s="128" t="s">
        <v>14</v>
      </c>
      <c r="E39" s="128">
        <v>765000</v>
      </c>
      <c r="F39" s="128"/>
      <c r="G39" s="128"/>
      <c r="H39" s="128"/>
      <c r="I39" s="128"/>
      <c r="J39" s="128" t="s">
        <v>14</v>
      </c>
      <c r="K39" s="128"/>
      <c r="L39" s="128"/>
      <c r="M39" s="186"/>
      <c r="N39" s="197"/>
      <c r="O39" s="85"/>
      <c r="P39" s="85"/>
      <c r="Q39" s="85"/>
      <c r="R39" s="172"/>
      <c r="T39" s="84"/>
      <c r="U39" s="84"/>
    </row>
    <row r="40" ht="24" customHeight="1" spans="1:21">
      <c r="A40" s="198" t="s">
        <v>89</v>
      </c>
      <c r="B40" s="130" t="s">
        <v>90</v>
      </c>
      <c r="C40" s="130" t="s">
        <v>82</v>
      </c>
      <c r="D40" s="128" t="s">
        <v>14</v>
      </c>
      <c r="E40" s="128">
        <v>884000</v>
      </c>
      <c r="F40" s="128"/>
      <c r="G40" s="128"/>
      <c r="H40" s="128"/>
      <c r="I40" s="128"/>
      <c r="J40" s="128" t="s">
        <v>14</v>
      </c>
      <c r="K40" s="128"/>
      <c r="L40" s="128"/>
      <c r="M40" s="186"/>
      <c r="N40" s="197"/>
      <c r="O40" s="85"/>
      <c r="P40" s="85"/>
      <c r="Q40" s="85"/>
      <c r="R40" s="172"/>
      <c r="T40" s="84"/>
      <c r="U40" s="84"/>
    </row>
    <row r="41" ht="24" customHeight="1" spans="1:21">
      <c r="A41" s="198" t="s">
        <v>91</v>
      </c>
      <c r="B41" s="130" t="s">
        <v>92</v>
      </c>
      <c r="C41" s="130" t="s">
        <v>82</v>
      </c>
      <c r="D41" s="128" t="s">
        <v>14</v>
      </c>
      <c r="E41" s="128">
        <v>1105000</v>
      </c>
      <c r="F41" s="128"/>
      <c r="G41" s="128"/>
      <c r="H41" s="128"/>
      <c r="I41" s="128"/>
      <c r="J41" s="128" t="s">
        <v>14</v>
      </c>
      <c r="K41" s="128"/>
      <c r="L41" s="128"/>
      <c r="M41" s="186"/>
      <c r="N41" s="197"/>
      <c r="O41" s="85"/>
      <c r="P41" s="85"/>
      <c r="Q41" s="85"/>
      <c r="R41" s="172"/>
      <c r="T41" s="84"/>
      <c r="U41" s="84"/>
    </row>
    <row r="42" ht="24" customHeight="1" spans="1:21">
      <c r="A42" s="198" t="s">
        <v>93</v>
      </c>
      <c r="B42" s="130" t="s">
        <v>94</v>
      </c>
      <c r="C42" s="130" t="s">
        <v>82</v>
      </c>
      <c r="D42" s="128" t="s">
        <v>14</v>
      </c>
      <c r="E42" s="128">
        <v>650000</v>
      </c>
      <c r="F42" s="128"/>
      <c r="G42" s="128"/>
      <c r="H42" s="128"/>
      <c r="I42" s="128"/>
      <c r="J42" s="128" t="s">
        <v>14</v>
      </c>
      <c r="K42" s="128"/>
      <c r="L42" s="128"/>
      <c r="M42" s="186"/>
      <c r="N42" s="197"/>
      <c r="O42" s="85"/>
      <c r="P42" s="85"/>
      <c r="Q42" s="85"/>
      <c r="R42" s="172"/>
      <c r="T42" s="84"/>
      <c r="U42" s="84"/>
    </row>
    <row r="43" ht="24" customHeight="1" spans="1:21">
      <c r="A43" s="198" t="s">
        <v>95</v>
      </c>
      <c r="B43" s="130" t="s">
        <v>96</v>
      </c>
      <c r="C43" s="130" t="s">
        <v>82</v>
      </c>
      <c r="D43" s="128" t="s">
        <v>14</v>
      </c>
      <c r="E43" s="128">
        <v>700000</v>
      </c>
      <c r="F43" s="128"/>
      <c r="G43" s="128"/>
      <c r="H43" s="128"/>
      <c r="I43" s="128"/>
      <c r="J43" s="128" t="s">
        <v>14</v>
      </c>
      <c r="K43" s="128"/>
      <c r="L43" s="128"/>
      <c r="M43" s="186"/>
      <c r="N43" s="197"/>
      <c r="O43" s="85"/>
      <c r="P43" s="85"/>
      <c r="Q43" s="85"/>
      <c r="R43" s="172"/>
      <c r="T43" s="84"/>
      <c r="U43" s="84"/>
    </row>
    <row r="44" ht="24" customHeight="1" spans="1:21">
      <c r="A44" s="198" t="s">
        <v>97</v>
      </c>
      <c r="B44" s="130" t="s">
        <v>98</v>
      </c>
      <c r="C44" s="130" t="s">
        <v>82</v>
      </c>
      <c r="D44" s="128" t="s">
        <v>14</v>
      </c>
      <c r="E44" s="128">
        <v>750000</v>
      </c>
      <c r="F44" s="128"/>
      <c r="G44" s="128"/>
      <c r="H44" s="128"/>
      <c r="I44" s="128"/>
      <c r="J44" s="128" t="s">
        <v>14</v>
      </c>
      <c r="K44" s="128"/>
      <c r="L44" s="128"/>
      <c r="M44" s="186"/>
      <c r="N44" s="197"/>
      <c r="O44" s="85"/>
      <c r="P44" s="85"/>
      <c r="Q44" s="85"/>
      <c r="R44" s="172"/>
      <c r="T44" s="84"/>
      <c r="U44" s="84"/>
    </row>
    <row r="45" ht="24" customHeight="1" spans="1:21">
      <c r="A45" s="198" t="s">
        <v>99</v>
      </c>
      <c r="B45" s="130" t="s">
        <v>100</v>
      </c>
      <c r="C45" s="130" t="s">
        <v>82</v>
      </c>
      <c r="D45" s="128" t="s">
        <v>14</v>
      </c>
      <c r="E45" s="128">
        <v>450000</v>
      </c>
      <c r="F45" s="128"/>
      <c r="G45" s="128"/>
      <c r="H45" s="128"/>
      <c r="I45" s="128"/>
      <c r="J45" s="128" t="s">
        <v>14</v>
      </c>
      <c r="K45" s="128"/>
      <c r="L45" s="128"/>
      <c r="M45" s="186"/>
      <c r="N45" s="197"/>
      <c r="O45" s="85"/>
      <c r="P45" s="85"/>
      <c r="Q45" s="85"/>
      <c r="R45" s="172"/>
      <c r="T45" s="84"/>
      <c r="U45" s="84"/>
    </row>
    <row r="46" ht="24" customHeight="1" spans="1:21">
      <c r="A46" s="198" t="s">
        <v>101</v>
      </c>
      <c r="B46" s="130" t="s">
        <v>102</v>
      </c>
      <c r="C46" s="130" t="s">
        <v>82</v>
      </c>
      <c r="D46" s="128" t="s">
        <v>14</v>
      </c>
      <c r="E46" s="128">
        <v>500000</v>
      </c>
      <c r="F46" s="128"/>
      <c r="G46" s="128"/>
      <c r="H46" s="128"/>
      <c r="I46" s="128"/>
      <c r="J46" s="128" t="s">
        <v>14</v>
      </c>
      <c r="K46" s="128"/>
      <c r="L46" s="128"/>
      <c r="M46" s="186"/>
      <c r="N46" s="197"/>
      <c r="O46" s="85"/>
      <c r="P46" s="85"/>
      <c r="Q46" s="85"/>
      <c r="R46" s="172"/>
      <c r="T46" s="84"/>
      <c r="U46" s="84"/>
    </row>
    <row r="47" ht="24" customHeight="1" spans="1:21">
      <c r="A47" s="198" t="s">
        <v>103</v>
      </c>
      <c r="B47" s="130" t="s">
        <v>104</v>
      </c>
      <c r="C47" s="130" t="s">
        <v>82</v>
      </c>
      <c r="D47" s="128" t="s">
        <v>14</v>
      </c>
      <c r="E47" s="128">
        <v>550000</v>
      </c>
      <c r="F47" s="128"/>
      <c r="G47" s="128"/>
      <c r="H47" s="128"/>
      <c r="I47" s="128"/>
      <c r="J47" s="128" t="s">
        <v>14</v>
      </c>
      <c r="K47" s="128"/>
      <c r="L47" s="128"/>
      <c r="M47" s="186"/>
      <c r="N47" s="197"/>
      <c r="O47" s="85"/>
      <c r="P47" s="85"/>
      <c r="Q47" s="85"/>
      <c r="R47" s="172"/>
      <c r="T47" s="84"/>
      <c r="U47" s="84"/>
    </row>
    <row r="48" ht="24" customHeight="1" spans="1:21">
      <c r="A48" s="198" t="s">
        <v>105</v>
      </c>
      <c r="B48" s="130" t="s">
        <v>106</v>
      </c>
      <c r="C48" s="130" t="s">
        <v>82</v>
      </c>
      <c r="D48" s="128" t="s">
        <v>14</v>
      </c>
      <c r="E48" s="128">
        <v>270000</v>
      </c>
      <c r="F48" s="128"/>
      <c r="G48" s="128"/>
      <c r="H48" s="128"/>
      <c r="I48" s="128"/>
      <c r="J48" s="128" t="s">
        <v>14</v>
      </c>
      <c r="K48" s="128"/>
      <c r="L48" s="128"/>
      <c r="M48" s="186"/>
      <c r="N48" s="197"/>
      <c r="O48" s="85"/>
      <c r="P48" s="85"/>
      <c r="Q48" s="85"/>
      <c r="R48" s="172"/>
      <c r="T48" s="84"/>
      <c r="U48" s="84"/>
    </row>
    <row r="49" ht="24" customHeight="1" spans="1:21">
      <c r="A49" s="198" t="s">
        <v>107</v>
      </c>
      <c r="B49" s="130" t="s">
        <v>108</v>
      </c>
      <c r="C49" s="130" t="s">
        <v>82</v>
      </c>
      <c r="D49" s="128" t="s">
        <v>14</v>
      </c>
      <c r="E49" s="128">
        <v>310000</v>
      </c>
      <c r="F49" s="128"/>
      <c r="G49" s="128"/>
      <c r="H49" s="128"/>
      <c r="I49" s="128"/>
      <c r="J49" s="128" t="s">
        <v>14</v>
      </c>
      <c r="K49" s="128"/>
      <c r="L49" s="128"/>
      <c r="M49" s="186"/>
      <c r="N49" s="197"/>
      <c r="O49" s="85"/>
      <c r="P49" s="85"/>
      <c r="Q49" s="85"/>
      <c r="R49" s="172"/>
      <c r="T49" s="84"/>
      <c r="U49" s="84"/>
    </row>
    <row r="50" ht="24" customHeight="1" spans="1:21">
      <c r="A50" s="198" t="s">
        <v>109</v>
      </c>
      <c r="B50" s="130" t="s">
        <v>110</v>
      </c>
      <c r="C50" s="130" t="s">
        <v>82</v>
      </c>
      <c r="D50" s="128" t="s">
        <v>14</v>
      </c>
      <c r="E50" s="128">
        <v>350000</v>
      </c>
      <c r="F50" s="128"/>
      <c r="G50" s="128"/>
      <c r="H50" s="128"/>
      <c r="I50" s="128"/>
      <c r="J50" s="128" t="s">
        <v>14</v>
      </c>
      <c r="K50" s="128"/>
      <c r="L50" s="128"/>
      <c r="M50" s="186"/>
      <c r="N50" s="197"/>
      <c r="O50" s="85"/>
      <c r="P50" s="85"/>
      <c r="Q50" s="85"/>
      <c r="R50" s="172"/>
      <c r="T50" s="84"/>
      <c r="U50" s="84"/>
    </row>
    <row r="51" ht="24" customHeight="1" spans="1:21">
      <c r="A51" s="196">
        <v>2.7</v>
      </c>
      <c r="B51" s="125" t="s">
        <v>111</v>
      </c>
      <c r="C51" s="125"/>
      <c r="D51" s="124"/>
      <c r="E51" s="124"/>
      <c r="F51" s="124"/>
      <c r="G51" s="124"/>
      <c r="H51" s="124"/>
      <c r="I51" s="124"/>
      <c r="J51" s="124"/>
      <c r="K51" s="124"/>
      <c r="L51" s="124"/>
      <c r="M51" s="151">
        <v>0</v>
      </c>
      <c r="N51" s="197"/>
      <c r="O51" s="201"/>
      <c r="P51" s="202"/>
      <c r="Q51" s="202"/>
      <c r="R51" s="172"/>
      <c r="T51" s="84"/>
      <c r="U51" s="84"/>
    </row>
    <row r="52" ht="24" customHeight="1" spans="1:21">
      <c r="A52" s="198" t="s">
        <v>112</v>
      </c>
      <c r="B52" s="130" t="s">
        <v>113</v>
      </c>
      <c r="C52" s="130" t="s">
        <v>13</v>
      </c>
      <c r="D52" s="128" t="s">
        <v>14</v>
      </c>
      <c r="E52" s="146">
        <v>0</v>
      </c>
      <c r="F52" s="146">
        <v>0</v>
      </c>
      <c r="G52" s="146">
        <v>18</v>
      </c>
      <c r="H52" s="146">
        <v>154</v>
      </c>
      <c r="I52" s="146">
        <v>168</v>
      </c>
      <c r="J52" s="128" t="s">
        <v>14</v>
      </c>
      <c r="K52" s="128"/>
      <c r="L52" s="128"/>
      <c r="M52" s="186"/>
      <c r="N52" s="197"/>
      <c r="O52" s="85"/>
      <c r="P52" s="85"/>
      <c r="Q52" s="85"/>
      <c r="R52" s="172"/>
      <c r="T52" s="84"/>
      <c r="U52" s="84"/>
    </row>
    <row r="53" ht="24" customHeight="1" spans="1:21">
      <c r="A53" s="198" t="s">
        <v>114</v>
      </c>
      <c r="B53" s="130" t="s">
        <v>115</v>
      </c>
      <c r="C53" s="130" t="s">
        <v>13</v>
      </c>
      <c r="D53" s="128" t="s">
        <v>14</v>
      </c>
      <c r="E53" s="146">
        <v>178</v>
      </c>
      <c r="F53" s="146">
        <v>71</v>
      </c>
      <c r="G53" s="146">
        <v>0</v>
      </c>
      <c r="H53" s="146">
        <v>0</v>
      </c>
      <c r="I53" s="146">
        <v>0</v>
      </c>
      <c r="J53" s="128" t="s">
        <v>14</v>
      </c>
      <c r="K53" s="128"/>
      <c r="L53" s="128"/>
      <c r="M53" s="186"/>
      <c r="N53" s="197"/>
      <c r="O53" s="85"/>
      <c r="P53" s="85"/>
      <c r="Q53" s="85"/>
      <c r="R53" s="172"/>
      <c r="T53" s="84"/>
      <c r="U53" s="84"/>
    </row>
    <row r="54" ht="24" customHeight="1" spans="1:21">
      <c r="A54" s="198" t="s">
        <v>116</v>
      </c>
      <c r="B54" s="130" t="s">
        <v>117</v>
      </c>
      <c r="C54" s="130" t="s">
        <v>13</v>
      </c>
      <c r="D54" s="128" t="s">
        <v>14</v>
      </c>
      <c r="E54" s="146" t="s">
        <v>14</v>
      </c>
      <c r="F54" s="146" t="s">
        <v>14</v>
      </c>
      <c r="G54" s="146">
        <v>57</v>
      </c>
      <c r="H54" s="146">
        <v>29</v>
      </c>
      <c r="I54" s="146">
        <v>27</v>
      </c>
      <c r="J54" s="128" t="s">
        <v>14</v>
      </c>
      <c r="K54" s="128"/>
      <c r="L54" s="128"/>
      <c r="M54" s="186"/>
      <c r="N54" s="197"/>
      <c r="O54" s="85"/>
      <c r="P54" s="85"/>
      <c r="Q54" s="85"/>
      <c r="R54" s="172"/>
      <c r="T54" s="84"/>
      <c r="U54" s="84"/>
    </row>
    <row r="55" ht="24" customHeight="1" spans="1:21">
      <c r="A55" s="196">
        <v>2.8</v>
      </c>
      <c r="B55" s="125" t="s">
        <v>118</v>
      </c>
      <c r="C55" s="126" t="s">
        <v>119</v>
      </c>
      <c r="D55" s="206"/>
      <c r="E55" s="206"/>
      <c r="F55" s="206"/>
      <c r="G55" s="206"/>
      <c r="H55" s="206"/>
      <c r="I55" s="206"/>
      <c r="J55" s="206"/>
      <c r="K55" s="206"/>
      <c r="L55" s="206"/>
      <c r="M55" s="151">
        <v>0</v>
      </c>
      <c r="N55" s="192"/>
      <c r="O55" s="207" t="s">
        <v>120</v>
      </c>
      <c r="P55" s="207"/>
      <c r="Q55" s="207"/>
      <c r="R55" s="208"/>
      <c r="S55" s="209" t="s">
        <v>118</v>
      </c>
      <c r="T55" s="210"/>
      <c r="U55" s="210"/>
    </row>
    <row r="56" ht="24" customHeight="1" spans="1:21">
      <c r="A56" s="198" t="s">
        <v>121</v>
      </c>
      <c r="B56" s="130" t="s">
        <v>122</v>
      </c>
      <c r="C56" s="130" t="s">
        <v>82</v>
      </c>
      <c r="D56" s="128" t="s">
        <v>14</v>
      </c>
      <c r="E56" s="128">
        <v>250000</v>
      </c>
      <c r="F56" s="128"/>
      <c r="G56" s="128"/>
      <c r="H56" s="128"/>
      <c r="I56" s="128"/>
      <c r="J56" s="128" t="s">
        <v>14</v>
      </c>
      <c r="K56" s="128"/>
      <c r="L56" s="128"/>
      <c r="M56" s="186"/>
      <c r="N56" s="197"/>
      <c r="O56" s="211" t="s">
        <v>123</v>
      </c>
      <c r="P56" s="212">
        <f>TREND(P58:P59,$O58:$O59,$O$1)</f>
        <v>114.71</v>
      </c>
      <c r="Q56" s="212">
        <f>TREND(Q58:Q59,$O58:$O59,$O$1)</f>
        <v>182.54</v>
      </c>
      <c r="R56" s="212">
        <f>TREND(R58:R59,$O58:$O59,$O$1)</f>
        <v>194.51</v>
      </c>
      <c r="S56" s="213"/>
      <c r="T56" s="210"/>
      <c r="U56" s="210"/>
    </row>
    <row r="57" ht="24" customHeight="1" spans="1:21">
      <c r="A57" s="198" t="s">
        <v>124</v>
      </c>
      <c r="B57" s="130" t="s">
        <v>125</v>
      </c>
      <c r="C57" s="130" t="s">
        <v>82</v>
      </c>
      <c r="D57" s="128" t="s">
        <v>14</v>
      </c>
      <c r="E57" s="128">
        <v>350000</v>
      </c>
      <c r="F57" s="128"/>
      <c r="G57" s="128"/>
      <c r="H57" s="128"/>
      <c r="I57" s="128"/>
      <c r="J57" s="128" t="s">
        <v>14</v>
      </c>
      <c r="K57" s="128"/>
      <c r="L57" s="128"/>
      <c r="M57" s="186"/>
      <c r="N57" s="197"/>
      <c r="O57" s="211" t="s">
        <v>126</v>
      </c>
      <c r="P57" s="211" t="s">
        <v>127</v>
      </c>
      <c r="Q57" s="211" t="s">
        <v>128</v>
      </c>
      <c r="R57" s="211" t="s">
        <v>129</v>
      </c>
      <c r="S57" s="213"/>
      <c r="T57" s="210"/>
      <c r="U57" s="210"/>
    </row>
    <row r="58" ht="24" customHeight="1" spans="1:21">
      <c r="A58" s="198" t="s">
        <v>130</v>
      </c>
      <c r="B58" s="130" t="s">
        <v>131</v>
      </c>
      <c r="C58" s="130" t="s">
        <v>82</v>
      </c>
      <c r="D58" s="128" t="s">
        <v>14</v>
      </c>
      <c r="E58" s="128">
        <v>680000</v>
      </c>
      <c r="F58" s="128"/>
      <c r="G58" s="128"/>
      <c r="H58" s="128"/>
      <c r="I58" s="128"/>
      <c r="J58" s="128" t="s">
        <v>14</v>
      </c>
      <c r="K58" s="128"/>
      <c r="L58" s="128"/>
      <c r="M58" s="186"/>
      <c r="N58" s="197"/>
      <c r="O58" s="211">
        <v>50</v>
      </c>
      <c r="P58" s="212">
        <v>13.5</v>
      </c>
      <c r="Q58" s="211">
        <v>22</v>
      </c>
      <c r="R58" s="212">
        <v>23.5</v>
      </c>
      <c r="S58" s="213"/>
      <c r="T58" s="210"/>
      <c r="U58" s="210"/>
    </row>
    <row r="59" ht="24" customHeight="1" spans="1:21">
      <c r="A59" s="198" t="s">
        <v>132</v>
      </c>
      <c r="B59" s="130" t="s">
        <v>133</v>
      </c>
      <c r="C59" s="130" t="s">
        <v>82</v>
      </c>
      <c r="D59" s="128" t="s">
        <v>14</v>
      </c>
      <c r="E59" s="128">
        <v>100000</v>
      </c>
      <c r="F59" s="128"/>
      <c r="G59" s="128"/>
      <c r="H59" s="128"/>
      <c r="I59" s="128"/>
      <c r="J59" s="128" t="s">
        <v>14</v>
      </c>
      <c r="K59" s="128"/>
      <c r="L59" s="128"/>
      <c r="M59" s="186"/>
      <c r="N59" s="197"/>
      <c r="O59" s="211">
        <v>100</v>
      </c>
      <c r="P59" s="211">
        <v>28</v>
      </c>
      <c r="Q59" s="211">
        <v>45</v>
      </c>
      <c r="R59" s="211">
        <v>48</v>
      </c>
      <c r="S59" s="213"/>
      <c r="T59" s="84"/>
      <c r="U59" s="84"/>
    </row>
    <row r="60" ht="24" customHeight="1" spans="1:21">
      <c r="A60" s="198" t="s">
        <v>134</v>
      </c>
      <c r="B60" s="130" t="s">
        <v>135</v>
      </c>
      <c r="C60" s="130" t="s">
        <v>82</v>
      </c>
      <c r="D60" s="128" t="s">
        <v>14</v>
      </c>
      <c r="E60" s="128">
        <v>250000</v>
      </c>
      <c r="F60" s="128"/>
      <c r="G60" s="128"/>
      <c r="H60" s="128"/>
      <c r="I60" s="128"/>
      <c r="J60" s="128" t="s">
        <v>14</v>
      </c>
      <c r="K60" s="128"/>
      <c r="L60" s="128"/>
      <c r="M60" s="186"/>
      <c r="N60" s="197"/>
      <c r="O60" s="211">
        <v>200</v>
      </c>
      <c r="P60" s="212">
        <v>55.8</v>
      </c>
      <c r="Q60" s="211">
        <v>70</v>
      </c>
      <c r="R60" s="214">
        <v>80</v>
      </c>
      <c r="S60" s="213"/>
      <c r="T60" s="84"/>
      <c r="U60" s="84"/>
    </row>
    <row r="61" ht="24" customHeight="1" spans="1:21">
      <c r="A61" s="198" t="s">
        <v>136</v>
      </c>
      <c r="B61" s="130" t="s">
        <v>137</v>
      </c>
      <c r="C61" s="130" t="s">
        <v>82</v>
      </c>
      <c r="D61" s="128" t="s">
        <v>14</v>
      </c>
      <c r="E61" s="128">
        <v>500000</v>
      </c>
      <c r="F61" s="128"/>
      <c r="G61" s="128"/>
      <c r="H61" s="128"/>
      <c r="I61" s="128"/>
      <c r="J61" s="128" t="s">
        <v>14</v>
      </c>
      <c r="K61" s="128"/>
      <c r="L61" s="128"/>
      <c r="M61" s="186"/>
      <c r="N61" s="197"/>
      <c r="O61" s="211">
        <v>500</v>
      </c>
      <c r="P61" s="212">
        <v>141.7</v>
      </c>
      <c r="Q61" s="211">
        <v>160</v>
      </c>
      <c r="R61" s="214">
        <v>196</v>
      </c>
      <c r="S61" s="213"/>
      <c r="T61" s="84"/>
      <c r="U61" s="84"/>
    </row>
    <row r="62" ht="24" customHeight="1" spans="1:21">
      <c r="A62" s="196">
        <v>2.9</v>
      </c>
      <c r="B62" s="125" t="s">
        <v>138</v>
      </c>
      <c r="C62" s="125"/>
      <c r="D62" s="124"/>
      <c r="E62" s="124"/>
      <c r="F62" s="124"/>
      <c r="G62" s="124"/>
      <c r="H62" s="124"/>
      <c r="I62" s="124"/>
      <c r="J62" s="124"/>
      <c r="K62" s="124"/>
      <c r="L62" s="124"/>
      <c r="M62" s="151">
        <f>0</f>
        <v>0</v>
      </c>
      <c r="N62" s="197"/>
      <c r="O62" s="211">
        <v>1000</v>
      </c>
      <c r="P62" s="212">
        <v>229.3</v>
      </c>
      <c r="Q62" s="211"/>
      <c r="R62" s="214"/>
      <c r="S62" s="213"/>
      <c r="T62" s="84"/>
      <c r="U62" s="84"/>
    </row>
    <row r="63" ht="24" customHeight="1" spans="1:21">
      <c r="A63" s="198" t="s">
        <v>139</v>
      </c>
      <c r="B63" s="130" t="s">
        <v>140</v>
      </c>
      <c r="C63" s="130" t="s">
        <v>13</v>
      </c>
      <c r="D63" s="128" t="s">
        <v>14</v>
      </c>
      <c r="E63" s="198">
        <v>37.5</v>
      </c>
      <c r="F63" s="128"/>
      <c r="G63" s="128"/>
      <c r="H63" s="128"/>
      <c r="I63" s="128"/>
      <c r="J63" s="128" t="s">
        <v>14</v>
      </c>
      <c r="K63" s="128"/>
      <c r="L63" s="128"/>
      <c r="M63" s="186"/>
      <c r="N63" s="197"/>
      <c r="O63" s="85"/>
      <c r="P63" s="85"/>
      <c r="Q63" s="85"/>
      <c r="R63" s="172"/>
      <c r="T63" s="84"/>
      <c r="U63" s="84"/>
    </row>
    <row r="64" ht="24" customHeight="1" spans="1:21">
      <c r="A64" s="198" t="s">
        <v>141</v>
      </c>
      <c r="B64" s="130" t="s">
        <v>142</v>
      </c>
      <c r="C64" s="130" t="s">
        <v>13</v>
      </c>
      <c r="D64" s="128" t="s">
        <v>14</v>
      </c>
      <c r="E64" s="198">
        <v>37.5</v>
      </c>
      <c r="F64" s="128"/>
      <c r="G64" s="128"/>
      <c r="H64" s="128"/>
      <c r="I64" s="128"/>
      <c r="J64" s="128" t="s">
        <v>14</v>
      </c>
      <c r="K64" s="128"/>
      <c r="L64" s="128"/>
      <c r="M64" s="186"/>
      <c r="N64" s="197"/>
      <c r="O64" s="85"/>
      <c r="P64" s="85"/>
      <c r="Q64" s="85"/>
      <c r="R64" s="172"/>
      <c r="T64" s="84"/>
      <c r="U64" s="84"/>
    </row>
    <row r="65" ht="24" customHeight="1" spans="1:21">
      <c r="A65" s="196">
        <v>2.1</v>
      </c>
      <c r="B65" s="161" t="s">
        <v>143</v>
      </c>
      <c r="C65" s="126" t="s">
        <v>144</v>
      </c>
      <c r="D65" s="206"/>
      <c r="E65" s="206"/>
      <c r="F65" s="206"/>
      <c r="G65" s="206"/>
      <c r="H65" s="206"/>
      <c r="I65" s="206"/>
      <c r="J65" s="206"/>
      <c r="K65" s="206"/>
      <c r="L65" s="206"/>
      <c r="M65" s="186"/>
      <c r="N65" s="197"/>
      <c r="O65" s="207" t="s">
        <v>120</v>
      </c>
      <c r="P65" s="215">
        <f>31.92+36.22</f>
        <v>68.14</v>
      </c>
      <c r="Q65" s="216" t="s">
        <v>145</v>
      </c>
      <c r="R65" s="177"/>
      <c r="T65" s="84"/>
      <c r="U65" s="84"/>
    </row>
    <row r="66" ht="24" customHeight="1" spans="1:21">
      <c r="A66" s="198" t="s">
        <v>146</v>
      </c>
      <c r="B66" s="130" t="s">
        <v>115</v>
      </c>
      <c r="C66" s="130" t="s">
        <v>147</v>
      </c>
      <c r="D66" s="128" t="s">
        <v>14</v>
      </c>
      <c r="E66" s="128"/>
      <c r="F66" s="128"/>
      <c r="G66" s="128"/>
      <c r="H66" s="128"/>
      <c r="I66" s="128"/>
      <c r="J66" s="128">
        <v>85</v>
      </c>
      <c r="K66" s="128"/>
      <c r="L66" s="128"/>
      <c r="M66" s="186"/>
      <c r="N66" s="197"/>
      <c r="O66" s="211" t="s">
        <v>123</v>
      </c>
      <c r="P66" s="211">
        <f>P68</f>
        <v>55</v>
      </c>
      <c r="Q66" s="217"/>
      <c r="R66" s="177"/>
      <c r="T66" s="84"/>
      <c r="U66" s="84"/>
    </row>
    <row r="67" ht="24" customHeight="1" spans="1:21">
      <c r="A67" s="198" t="s">
        <v>148</v>
      </c>
      <c r="B67" s="130" t="s">
        <v>149</v>
      </c>
      <c r="C67" s="130" t="s">
        <v>147</v>
      </c>
      <c r="D67" s="128" t="s">
        <v>14</v>
      </c>
      <c r="E67" s="128"/>
      <c r="F67" s="128"/>
      <c r="G67" s="128"/>
      <c r="H67" s="128"/>
      <c r="I67" s="128"/>
      <c r="J67" s="128">
        <v>45</v>
      </c>
      <c r="K67" s="128"/>
      <c r="L67" s="128"/>
      <c r="M67" s="186">
        <f>(P65-P66)*J67/O1*10</f>
        <v>14.8195488721805</v>
      </c>
      <c r="N67" s="197"/>
      <c r="O67" s="211" t="s">
        <v>126</v>
      </c>
      <c r="P67" s="211" t="s">
        <v>150</v>
      </c>
      <c r="Q67" s="217"/>
      <c r="R67" s="177"/>
      <c r="T67" s="84"/>
      <c r="U67" s="84"/>
    </row>
    <row r="68" ht="24" customHeight="1" spans="1:21">
      <c r="A68" s="198" t="s">
        <v>151</v>
      </c>
      <c r="B68" s="130" t="s">
        <v>152</v>
      </c>
      <c r="C68" s="130" t="s">
        <v>147</v>
      </c>
      <c r="D68" s="128" t="s">
        <v>14</v>
      </c>
      <c r="E68" s="128"/>
      <c r="F68" s="128"/>
      <c r="G68" s="128"/>
      <c r="H68" s="128"/>
      <c r="I68" s="128"/>
      <c r="J68" s="128">
        <v>35</v>
      </c>
      <c r="K68" s="128"/>
      <c r="L68" s="128"/>
      <c r="M68" s="186"/>
      <c r="N68" s="197"/>
      <c r="O68" s="211">
        <v>300</v>
      </c>
      <c r="P68" s="211">
        <v>55</v>
      </c>
      <c r="Q68" s="217"/>
      <c r="R68" s="177"/>
      <c r="T68" s="84"/>
      <c r="U68" s="84"/>
    </row>
    <row r="69" ht="24" customHeight="1" spans="1:21">
      <c r="A69" s="196">
        <v>2.11</v>
      </c>
      <c r="B69" s="161" t="s">
        <v>153</v>
      </c>
      <c r="C69" s="126" t="s">
        <v>154</v>
      </c>
      <c r="D69" s="206"/>
      <c r="E69" s="206"/>
      <c r="F69" s="206"/>
      <c r="G69" s="206"/>
      <c r="H69" s="206"/>
      <c r="I69" s="206"/>
      <c r="J69" s="206"/>
      <c r="K69" s="206"/>
      <c r="L69" s="206"/>
      <c r="M69" s="186"/>
      <c r="N69" s="192" t="s">
        <v>155</v>
      </c>
      <c r="O69" s="211">
        <v>500</v>
      </c>
      <c r="P69" s="211">
        <v>107</v>
      </c>
      <c r="Q69" s="217"/>
      <c r="R69" s="218"/>
      <c r="T69" s="84"/>
      <c r="U69" s="84"/>
    </row>
    <row r="70" ht="24" customHeight="1" spans="1:21">
      <c r="A70" s="198" t="s">
        <v>156</v>
      </c>
      <c r="B70" s="130" t="s">
        <v>157</v>
      </c>
      <c r="C70" s="130" t="s">
        <v>13</v>
      </c>
      <c r="D70" s="128" t="s">
        <v>14</v>
      </c>
      <c r="E70" s="128"/>
      <c r="F70" s="128"/>
      <c r="G70" s="128"/>
      <c r="H70" s="128"/>
      <c r="I70" s="128"/>
      <c r="J70" s="128">
        <v>-376</v>
      </c>
      <c r="K70" s="128">
        <v>-306</v>
      </c>
      <c r="L70" s="128">
        <v>-268</v>
      </c>
      <c r="M70" s="148">
        <f>TREND(J70:K70,J2:K2,O1)</f>
        <v>-341.35</v>
      </c>
      <c r="N70" s="197"/>
      <c r="O70" s="211">
        <v>1000</v>
      </c>
      <c r="P70" s="211">
        <v>170</v>
      </c>
      <c r="Q70" s="217"/>
      <c r="R70" s="177"/>
      <c r="T70" s="84"/>
      <c r="U70" s="84"/>
    </row>
    <row r="71" ht="24" customHeight="1" spans="1:21">
      <c r="A71" s="198" t="s">
        <v>158</v>
      </c>
      <c r="B71" s="130" t="s">
        <v>159</v>
      </c>
      <c r="C71" s="130" t="s">
        <v>13</v>
      </c>
      <c r="D71" s="128" t="s">
        <v>14</v>
      </c>
      <c r="E71" s="128"/>
      <c r="F71" s="128"/>
      <c r="G71" s="128"/>
      <c r="H71" s="128"/>
      <c r="I71" s="128"/>
      <c r="J71" s="128">
        <v>-188</v>
      </c>
      <c r="K71" s="128">
        <v>-153</v>
      </c>
      <c r="L71" s="128">
        <v>-134</v>
      </c>
      <c r="M71" s="186"/>
      <c r="N71" s="197"/>
      <c r="O71" s="85"/>
      <c r="P71" s="205"/>
      <c r="Q71" s="205"/>
      <c r="R71" s="172"/>
      <c r="T71" s="84"/>
      <c r="U71" s="84"/>
    </row>
    <row r="72" ht="24" customHeight="1" spans="1:21">
      <c r="A72" s="198" t="s">
        <v>160</v>
      </c>
      <c r="B72" s="130" t="s">
        <v>161</v>
      </c>
      <c r="C72" s="130" t="s">
        <v>13</v>
      </c>
      <c r="D72" s="128" t="s">
        <v>14</v>
      </c>
      <c r="E72" s="128"/>
      <c r="F72" s="128"/>
      <c r="G72" s="128"/>
      <c r="H72" s="128"/>
      <c r="I72" s="128"/>
      <c r="J72" s="128">
        <v>0</v>
      </c>
      <c r="K72" s="128">
        <v>0</v>
      </c>
      <c r="L72" s="128">
        <v>0</v>
      </c>
      <c r="M72" s="186"/>
      <c r="N72" s="197"/>
      <c r="O72" s="85"/>
      <c r="P72" s="205"/>
      <c r="Q72" s="205"/>
      <c r="R72" s="172"/>
      <c r="T72" s="84"/>
      <c r="U72" s="84"/>
    </row>
    <row r="73" ht="24" customHeight="1" spans="1:21">
      <c r="A73" s="198" t="s">
        <v>162</v>
      </c>
      <c r="B73" s="130" t="s">
        <v>163</v>
      </c>
      <c r="C73" s="130" t="s">
        <v>13</v>
      </c>
      <c r="D73" s="128" t="s">
        <v>14</v>
      </c>
      <c r="E73" s="128"/>
      <c r="F73" s="128"/>
      <c r="G73" s="128"/>
      <c r="H73" s="128"/>
      <c r="I73" s="128"/>
      <c r="J73" s="128">
        <v>188</v>
      </c>
      <c r="K73" s="128">
        <v>153</v>
      </c>
      <c r="L73" s="128">
        <v>134</v>
      </c>
      <c r="M73" s="186"/>
      <c r="N73" s="197"/>
      <c r="O73" s="85"/>
      <c r="P73" s="205"/>
      <c r="Q73" s="205"/>
      <c r="R73" s="172"/>
      <c r="T73" s="84"/>
      <c r="U73" s="84"/>
    </row>
    <row r="74" ht="24" customHeight="1" spans="1:21">
      <c r="A74" s="196">
        <v>2.12</v>
      </c>
      <c r="B74" s="161" t="s">
        <v>164</v>
      </c>
      <c r="C74" s="125"/>
      <c r="D74" s="124"/>
      <c r="E74" s="124"/>
      <c r="F74" s="124"/>
      <c r="G74" s="124"/>
      <c r="H74" s="124"/>
      <c r="I74" s="124"/>
      <c r="J74" s="124"/>
      <c r="K74" s="124"/>
      <c r="L74" s="124"/>
      <c r="M74" s="186"/>
      <c r="N74" s="197" t="s">
        <v>165</v>
      </c>
      <c r="O74" s="219"/>
      <c r="P74" s="220"/>
      <c r="Q74" s="220"/>
      <c r="R74" s="172"/>
      <c r="T74" s="84"/>
      <c r="U74" s="84"/>
    </row>
    <row r="75" ht="24" customHeight="1" spans="1:21">
      <c r="A75" s="198" t="s">
        <v>166</v>
      </c>
      <c r="B75" s="130" t="s">
        <v>167</v>
      </c>
      <c r="C75" s="130" t="s">
        <v>13</v>
      </c>
      <c r="D75" s="128" t="s">
        <v>14</v>
      </c>
      <c r="E75" s="128"/>
      <c r="F75" s="128"/>
      <c r="G75" s="128"/>
      <c r="H75" s="128"/>
      <c r="I75" s="128"/>
      <c r="J75" s="128">
        <v>-272</v>
      </c>
      <c r="K75" s="128"/>
      <c r="L75" s="128"/>
      <c r="M75" s="151">
        <f>J75</f>
        <v>-272</v>
      </c>
      <c r="N75" s="197"/>
      <c r="O75" s="85"/>
      <c r="P75" s="205"/>
      <c r="Q75" s="205"/>
      <c r="R75" s="172"/>
      <c r="T75" s="84"/>
      <c r="U75" s="84"/>
    </row>
    <row r="76" ht="24" customHeight="1" spans="1:21">
      <c r="A76" s="198" t="s">
        <v>168</v>
      </c>
      <c r="B76" s="130" t="s">
        <v>169</v>
      </c>
      <c r="C76" s="130" t="s">
        <v>13</v>
      </c>
      <c r="D76" s="128" t="s">
        <v>14</v>
      </c>
      <c r="E76" s="128"/>
      <c r="F76" s="128"/>
      <c r="G76" s="128"/>
      <c r="H76" s="128"/>
      <c r="I76" s="128"/>
      <c r="J76" s="128">
        <v>-136</v>
      </c>
      <c r="K76" s="128"/>
      <c r="L76" s="128"/>
      <c r="M76" s="186"/>
      <c r="N76" s="197"/>
      <c r="O76" s="85"/>
      <c r="P76" s="205"/>
      <c r="Q76" s="205"/>
      <c r="R76" s="172"/>
      <c r="T76" s="84"/>
      <c r="U76" s="84"/>
    </row>
    <row r="77" ht="24" customHeight="1" spans="1:21">
      <c r="A77" s="198" t="s">
        <v>170</v>
      </c>
      <c r="B77" s="130" t="s">
        <v>171</v>
      </c>
      <c r="C77" s="130" t="s">
        <v>13</v>
      </c>
      <c r="D77" s="128" t="s">
        <v>14</v>
      </c>
      <c r="E77" s="128"/>
      <c r="F77" s="128"/>
      <c r="G77" s="128"/>
      <c r="H77" s="128"/>
      <c r="I77" s="128"/>
      <c r="J77" s="128">
        <v>0</v>
      </c>
      <c r="K77" s="128"/>
      <c r="L77" s="128"/>
      <c r="M77" s="186"/>
      <c r="N77" s="197"/>
      <c r="O77" s="85"/>
      <c r="P77" s="205"/>
      <c r="Q77" s="205"/>
      <c r="R77" s="172"/>
      <c r="T77" s="84"/>
      <c r="U77" s="84"/>
    </row>
    <row r="78" ht="24" customHeight="1" spans="1:21">
      <c r="A78" s="198" t="s">
        <v>172</v>
      </c>
      <c r="B78" s="130" t="s">
        <v>173</v>
      </c>
      <c r="C78" s="130" t="s">
        <v>13</v>
      </c>
      <c r="D78" s="128" t="s">
        <v>14</v>
      </c>
      <c r="E78" s="128"/>
      <c r="F78" s="128"/>
      <c r="G78" s="128"/>
      <c r="H78" s="128"/>
      <c r="I78" s="128"/>
      <c r="J78" s="128">
        <v>136</v>
      </c>
      <c r="K78" s="128"/>
      <c r="L78" s="128"/>
      <c r="M78" s="186"/>
      <c r="N78" s="197"/>
      <c r="O78" s="85"/>
      <c r="P78" s="205"/>
      <c r="Q78" s="205"/>
      <c r="R78" s="172"/>
      <c r="T78" s="84"/>
      <c r="U78" s="84"/>
    </row>
    <row r="79" ht="24" customHeight="1" spans="1:21">
      <c r="A79" s="196">
        <v>2.13</v>
      </c>
      <c r="B79" s="125" t="s">
        <v>27</v>
      </c>
      <c r="C79" s="125"/>
      <c r="D79" s="124"/>
      <c r="E79" s="124"/>
      <c r="F79" s="124"/>
      <c r="G79" s="124"/>
      <c r="H79" s="124"/>
      <c r="I79" s="124"/>
      <c r="J79" s="124"/>
      <c r="K79" s="124"/>
      <c r="L79" s="124"/>
      <c r="M79" s="186"/>
      <c r="N79" s="197"/>
      <c r="O79" s="201"/>
      <c r="P79" s="202"/>
      <c r="Q79" s="202"/>
      <c r="R79" s="172"/>
      <c r="T79" s="84"/>
      <c r="U79" s="84"/>
    </row>
    <row r="80" ht="24" customHeight="1" spans="1:21">
      <c r="A80" s="198" t="s">
        <v>174</v>
      </c>
      <c r="B80" s="130" t="s">
        <v>175</v>
      </c>
      <c r="C80" s="130" t="s">
        <v>13</v>
      </c>
      <c r="D80" s="128" t="s">
        <v>176</v>
      </c>
      <c r="E80" s="128"/>
      <c r="F80" s="128"/>
      <c r="G80" s="128"/>
      <c r="H80" s="128"/>
      <c r="I80" s="128"/>
      <c r="J80" s="128"/>
      <c r="K80" s="128"/>
      <c r="L80" s="128"/>
      <c r="M80" s="186">
        <f>(12121.12+2.66+7649.27+882.16)/O1*10-360</f>
        <v>157.674436090226</v>
      </c>
      <c r="N80" s="197"/>
      <c r="O80" s="85"/>
      <c r="P80" s="85"/>
      <c r="Q80" s="85"/>
      <c r="R80" s="172"/>
      <c r="T80" s="84"/>
      <c r="U80" s="84"/>
    </row>
    <row r="81" ht="24" customHeight="1" spans="1:21">
      <c r="A81" s="198" t="s">
        <v>177</v>
      </c>
      <c r="B81" s="130" t="s">
        <v>178</v>
      </c>
      <c r="C81" s="130" t="s">
        <v>13</v>
      </c>
      <c r="D81" s="128" t="s">
        <v>14</v>
      </c>
      <c r="E81" s="221" t="s">
        <v>179</v>
      </c>
      <c r="F81" s="221"/>
      <c r="G81" s="221"/>
      <c r="H81" s="221"/>
      <c r="I81" s="221"/>
      <c r="J81" s="128" t="s">
        <v>14</v>
      </c>
      <c r="K81" s="128"/>
      <c r="L81" s="128"/>
      <c r="M81" s="186"/>
      <c r="N81" s="197"/>
      <c r="O81" s="85"/>
      <c r="P81" s="85"/>
      <c r="Q81" s="85"/>
      <c r="R81" s="172"/>
      <c r="T81" s="84"/>
      <c r="U81" s="84"/>
    </row>
    <row r="82" ht="24" customHeight="1" spans="1:21">
      <c r="A82" s="198" t="s">
        <v>180</v>
      </c>
      <c r="B82" s="130" t="s">
        <v>181</v>
      </c>
      <c r="C82" s="130" t="s">
        <v>13</v>
      </c>
      <c r="D82" s="128" t="s">
        <v>14</v>
      </c>
      <c r="E82" s="198">
        <v>128.99</v>
      </c>
      <c r="F82" s="128"/>
      <c r="G82" s="128"/>
      <c r="H82" s="128"/>
      <c r="I82" s="128"/>
      <c r="J82" s="128" t="s">
        <v>14</v>
      </c>
      <c r="K82" s="128"/>
      <c r="L82" s="128"/>
      <c r="M82" s="186"/>
      <c r="N82" s="197"/>
      <c r="O82" s="85"/>
      <c r="P82" s="85"/>
      <c r="Q82" s="85"/>
      <c r="R82" s="172"/>
      <c r="T82" s="84"/>
      <c r="U82" s="84"/>
    </row>
    <row r="83" ht="24" customHeight="1" spans="1:21">
      <c r="A83" s="196">
        <v>2.14</v>
      </c>
      <c r="B83" s="125" t="s">
        <v>182</v>
      </c>
      <c r="C83" s="125"/>
      <c r="D83" s="124"/>
      <c r="E83" s="124"/>
      <c r="F83" s="124"/>
      <c r="G83" s="124"/>
      <c r="H83" s="124"/>
      <c r="I83" s="124"/>
      <c r="J83" s="124"/>
      <c r="K83" s="124"/>
      <c r="L83" s="124"/>
      <c r="M83" s="186"/>
      <c r="N83" s="197"/>
      <c r="O83" s="201"/>
      <c r="P83" s="202"/>
      <c r="Q83" s="202"/>
      <c r="R83" s="172"/>
      <c r="T83" s="84"/>
      <c r="U83" s="84"/>
    </row>
    <row r="84" ht="24" customHeight="1" spans="1:21">
      <c r="A84" s="198" t="s">
        <v>183</v>
      </c>
      <c r="B84" s="130" t="s">
        <v>184</v>
      </c>
      <c r="C84" s="130" t="s">
        <v>185</v>
      </c>
      <c r="D84" s="128" t="s">
        <v>14</v>
      </c>
      <c r="E84" s="128">
        <v>230</v>
      </c>
      <c r="F84" s="128">
        <v>330</v>
      </c>
      <c r="G84" s="128">
        <v>430</v>
      </c>
      <c r="H84" s="128">
        <v>800</v>
      </c>
      <c r="I84" s="128">
        <v>900</v>
      </c>
      <c r="J84" s="128" t="s">
        <v>14</v>
      </c>
      <c r="K84" s="128"/>
      <c r="L84" s="128"/>
      <c r="M84" s="186"/>
      <c r="N84" s="197"/>
      <c r="O84" s="85"/>
      <c r="P84" s="85"/>
      <c r="Q84" s="85"/>
      <c r="R84" s="172"/>
      <c r="T84" s="84"/>
      <c r="U84" s="84"/>
    </row>
    <row r="85" ht="24" customHeight="1" spans="1:21">
      <c r="A85" s="222">
        <v>2.15</v>
      </c>
      <c r="B85" s="160" t="s">
        <v>186</v>
      </c>
      <c r="C85" s="223" t="s">
        <v>185</v>
      </c>
      <c r="D85" s="224" t="s">
        <v>14</v>
      </c>
      <c r="E85" s="224" t="s">
        <v>14</v>
      </c>
      <c r="F85" s="224" t="s">
        <v>14</v>
      </c>
      <c r="G85" s="224" t="s">
        <v>14</v>
      </c>
      <c r="H85" s="224" t="s">
        <v>14</v>
      </c>
      <c r="I85" s="224" t="s">
        <v>14</v>
      </c>
      <c r="J85" s="224" t="s">
        <v>14</v>
      </c>
      <c r="K85" s="224" t="s">
        <v>14</v>
      </c>
      <c r="L85" s="224" t="s">
        <v>14</v>
      </c>
      <c r="M85" s="186"/>
      <c r="N85" s="225"/>
      <c r="O85" s="85"/>
      <c r="P85" s="85"/>
      <c r="Q85" s="85"/>
      <c r="R85" s="172"/>
      <c r="T85" s="84"/>
      <c r="U85" s="84"/>
    </row>
  </sheetData>
  <mergeCells count="119">
    <mergeCell ref="D1:I1"/>
    <mergeCell ref="J1:L1"/>
    <mergeCell ref="B3:L3"/>
    <mergeCell ref="B11:L11"/>
    <mergeCell ref="C12:L12"/>
    <mergeCell ref="D13:L13"/>
    <mergeCell ref="C14:L14"/>
    <mergeCell ref="D15:I15"/>
    <mergeCell ref="J15:L15"/>
    <mergeCell ref="D16:I16"/>
    <mergeCell ref="J16:L16"/>
    <mergeCell ref="C22:L22"/>
    <mergeCell ref="J23:L23"/>
    <mergeCell ref="J24:L24"/>
    <mergeCell ref="J25:L25"/>
    <mergeCell ref="J26:L26"/>
    <mergeCell ref="C27:L27"/>
    <mergeCell ref="D28:I28"/>
    <mergeCell ref="J28:L28"/>
    <mergeCell ref="D29:I29"/>
    <mergeCell ref="J29:L29"/>
    <mergeCell ref="J30:L30"/>
    <mergeCell ref="J31:L31"/>
    <mergeCell ref="J32:L32"/>
    <mergeCell ref="C33:L33"/>
    <mergeCell ref="D34:I34"/>
    <mergeCell ref="J34:L34"/>
    <mergeCell ref="C35:L35"/>
    <mergeCell ref="E36:I36"/>
    <mergeCell ref="J36:L36"/>
    <mergeCell ref="E37:I37"/>
    <mergeCell ref="J37:L37"/>
    <mergeCell ref="E38:I38"/>
    <mergeCell ref="J38:L38"/>
    <mergeCell ref="E39:I39"/>
    <mergeCell ref="J39:L39"/>
    <mergeCell ref="E40:I40"/>
    <mergeCell ref="J40:L40"/>
    <mergeCell ref="E41:I41"/>
    <mergeCell ref="J41:L41"/>
    <mergeCell ref="E42:I42"/>
    <mergeCell ref="J42:L42"/>
    <mergeCell ref="E43:I43"/>
    <mergeCell ref="J43:L43"/>
    <mergeCell ref="E44:I44"/>
    <mergeCell ref="J44:L44"/>
    <mergeCell ref="E45:I45"/>
    <mergeCell ref="J45:L45"/>
    <mergeCell ref="E46:I46"/>
    <mergeCell ref="J46:L46"/>
    <mergeCell ref="E47:I47"/>
    <mergeCell ref="J47:L47"/>
    <mergeCell ref="E48:I48"/>
    <mergeCell ref="J48:L48"/>
    <mergeCell ref="E49:I49"/>
    <mergeCell ref="J49:L49"/>
    <mergeCell ref="E50:I50"/>
    <mergeCell ref="J50:L50"/>
    <mergeCell ref="C51:L51"/>
    <mergeCell ref="J52:L52"/>
    <mergeCell ref="J53:L53"/>
    <mergeCell ref="J54:L54"/>
    <mergeCell ref="C55:L55"/>
    <mergeCell ref="E56:I56"/>
    <mergeCell ref="J56:L56"/>
    <mergeCell ref="E57:I57"/>
    <mergeCell ref="J57:L57"/>
    <mergeCell ref="E58:I58"/>
    <mergeCell ref="J58:L58"/>
    <mergeCell ref="E59:I59"/>
    <mergeCell ref="J59:L59"/>
    <mergeCell ref="E60:I60"/>
    <mergeCell ref="J60:L60"/>
    <mergeCell ref="E61:I61"/>
    <mergeCell ref="J61:L61"/>
    <mergeCell ref="C62:L62"/>
    <mergeCell ref="E63:I63"/>
    <mergeCell ref="J63:L63"/>
    <mergeCell ref="E64:I64"/>
    <mergeCell ref="J64:L64"/>
    <mergeCell ref="C65:L65"/>
    <mergeCell ref="D66:I66"/>
    <mergeCell ref="J66:L66"/>
    <mergeCell ref="D67:I67"/>
    <mergeCell ref="J67:L67"/>
    <mergeCell ref="D68:I68"/>
    <mergeCell ref="J68:L68"/>
    <mergeCell ref="C69:L69"/>
    <mergeCell ref="D70:I70"/>
    <mergeCell ref="D71:I71"/>
    <mergeCell ref="D72:I72"/>
    <mergeCell ref="D73:I73"/>
    <mergeCell ref="C74:L74"/>
    <mergeCell ref="D75:I75"/>
    <mergeCell ref="J75:L75"/>
    <mergeCell ref="D76:I76"/>
    <mergeCell ref="J76:L76"/>
    <mergeCell ref="D77:I77"/>
    <mergeCell ref="J77:L77"/>
    <mergeCell ref="D78:I78"/>
    <mergeCell ref="J78:L78"/>
    <mergeCell ref="C79:L79"/>
    <mergeCell ref="D80:L80"/>
    <mergeCell ref="E81:I81"/>
    <mergeCell ref="J81:L81"/>
    <mergeCell ref="E82:I82"/>
    <mergeCell ref="J82:L82"/>
    <mergeCell ref="C83:L83"/>
    <mergeCell ref="J84:L84"/>
    <mergeCell ref="A1:A2"/>
    <mergeCell ref="B1:B2"/>
    <mergeCell ref="C1:C2"/>
    <mergeCell ref="D4:D5"/>
    <mergeCell ref="Q65:Q70"/>
    <mergeCell ref="S55:S62"/>
    <mergeCell ref="J4:L6"/>
    <mergeCell ref="D7:I10"/>
    <mergeCell ref="D17:I21"/>
    <mergeCell ref="D30:I3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13"/>
  <sheetViews>
    <sheetView workbookViewId="0">
      <pane ySplit="2" topLeftCell="A3" activePane="bottomLeft" state="frozen"/>
      <selection/>
      <selection pane="bottomLeft" activeCell="A1" sqref="A1:A2"/>
    </sheetView>
  </sheetViews>
  <sheetFormatPr defaultColWidth="8.83333333333333" defaultRowHeight="13.5"/>
  <cols>
    <col min="1" max="1" width="4.5" style="27" customWidth="1"/>
    <col min="2" max="2" width="14" style="27" customWidth="1"/>
    <col min="3" max="3" width="17.8333333333333" style="3" customWidth="1"/>
    <col min="4" max="4" width="18.5" style="3" customWidth="1"/>
    <col min="5" max="5" width="18.3333333333333" style="3" customWidth="1"/>
    <col min="6" max="6" width="18.8333333333333" style="3" customWidth="1"/>
    <col min="7" max="7" width="19.3333333333333" style="158" customWidth="1"/>
    <col min="8" max="8" width="27.3333333333333" style="91" customWidth="1"/>
    <col min="9" max="9" width="27.5" style="91" customWidth="1"/>
    <col min="10" max="10" width="26.5" style="91" customWidth="1"/>
  </cols>
  <sheetData>
    <row r="1" ht="24" customHeight="1" spans="1:10">
      <c r="A1" s="159" t="s">
        <v>0</v>
      </c>
      <c r="B1" s="159" t="s">
        <v>187</v>
      </c>
      <c r="C1" s="160" t="s">
        <v>188</v>
      </c>
      <c r="D1" s="160"/>
      <c r="E1" s="160"/>
      <c r="F1" s="160"/>
      <c r="G1" s="160"/>
      <c r="H1" s="161" t="s">
        <v>189</v>
      </c>
      <c r="I1" s="161"/>
      <c r="J1" s="161"/>
    </row>
    <row r="2" s="1" customFormat="1" ht="24" customHeight="1" spans="1:10">
      <c r="A2" s="162"/>
      <c r="B2" s="162"/>
      <c r="C2" s="160" t="s">
        <v>190</v>
      </c>
      <c r="D2" s="160" t="s">
        <v>191</v>
      </c>
      <c r="E2" s="160" t="s">
        <v>192</v>
      </c>
      <c r="F2" s="160" t="s">
        <v>193</v>
      </c>
      <c r="G2" s="160" t="s">
        <v>194</v>
      </c>
      <c r="H2" s="160" t="s">
        <v>195</v>
      </c>
      <c r="I2" s="160" t="s">
        <v>193</v>
      </c>
      <c r="J2" s="160" t="s">
        <v>194</v>
      </c>
    </row>
    <row r="3" ht="24" customHeight="1" spans="1:10">
      <c r="A3" s="163" t="s">
        <v>196</v>
      </c>
      <c r="B3" s="164" t="s">
        <v>197</v>
      </c>
      <c r="C3" s="165" t="s">
        <v>198</v>
      </c>
      <c r="D3" s="165" t="s">
        <v>199</v>
      </c>
      <c r="E3" s="165" t="s">
        <v>200</v>
      </c>
      <c r="F3" s="165" t="s">
        <v>201</v>
      </c>
      <c r="G3" s="165" t="s">
        <v>202</v>
      </c>
      <c r="H3" s="129" t="s">
        <v>203</v>
      </c>
      <c r="I3" s="129" t="s">
        <v>204</v>
      </c>
      <c r="J3" s="129" t="s">
        <v>205</v>
      </c>
    </row>
    <row r="4" ht="24" customHeight="1" spans="1:10">
      <c r="A4" s="166"/>
      <c r="B4" s="137"/>
      <c r="C4" s="165" t="s">
        <v>206</v>
      </c>
      <c r="D4" s="165"/>
      <c r="E4" s="165"/>
      <c r="F4" s="165"/>
      <c r="G4" s="165"/>
      <c r="H4" s="129" t="s">
        <v>207</v>
      </c>
      <c r="I4" s="129"/>
      <c r="J4" s="129"/>
    </row>
    <row r="5" s="1" customFormat="1" ht="24" customHeight="1" spans="1:10">
      <c r="A5" s="166" t="s">
        <v>208</v>
      </c>
      <c r="B5" s="137" t="s">
        <v>209</v>
      </c>
      <c r="C5" s="132" t="s">
        <v>210</v>
      </c>
      <c r="D5" s="132"/>
      <c r="E5" s="132"/>
      <c r="F5" s="132"/>
      <c r="G5" s="132"/>
      <c r="H5" s="132"/>
      <c r="I5" s="132"/>
      <c r="J5" s="132"/>
    </row>
    <row r="6" s="1" customFormat="1" ht="57" customHeight="1" spans="1:10">
      <c r="A6" s="166" t="s">
        <v>211</v>
      </c>
      <c r="B6" s="137" t="s">
        <v>212</v>
      </c>
      <c r="C6" s="165" t="s">
        <v>213</v>
      </c>
      <c r="D6" s="165"/>
      <c r="E6" s="165"/>
      <c r="F6" s="165"/>
      <c r="G6" s="165"/>
      <c r="H6" s="132" t="s">
        <v>214</v>
      </c>
      <c r="I6" s="132"/>
      <c r="J6" s="132"/>
    </row>
    <row r="7" ht="46.25" customHeight="1" spans="1:10">
      <c r="A7" s="166" t="s">
        <v>215</v>
      </c>
      <c r="B7" s="137" t="s">
        <v>216</v>
      </c>
      <c r="C7" s="165" t="s">
        <v>217</v>
      </c>
      <c r="D7" s="165"/>
      <c r="E7" s="165"/>
      <c r="F7" s="165"/>
      <c r="G7" s="165"/>
      <c r="H7" s="129" t="s">
        <v>218</v>
      </c>
      <c r="I7" s="129"/>
      <c r="J7" s="129"/>
    </row>
    <row r="8" s="1" customFormat="1" ht="66" customHeight="1" spans="1:10">
      <c r="A8" s="163" t="s">
        <v>219</v>
      </c>
      <c r="B8" s="164" t="s">
        <v>220</v>
      </c>
      <c r="C8" s="165" t="s">
        <v>221</v>
      </c>
      <c r="D8" s="165"/>
      <c r="E8" s="165"/>
      <c r="F8" s="165"/>
      <c r="G8" s="165"/>
      <c r="H8" s="132" t="s">
        <v>222</v>
      </c>
      <c r="I8" s="132"/>
      <c r="J8" s="132"/>
    </row>
    <row r="9" s="1" customFormat="1" ht="118.25" customHeight="1" spans="1:10">
      <c r="A9" s="166"/>
      <c r="B9" s="137"/>
      <c r="C9" s="132" t="s">
        <v>223</v>
      </c>
      <c r="D9" s="132" t="s">
        <v>224</v>
      </c>
      <c r="E9" s="132" t="s">
        <v>225</v>
      </c>
      <c r="F9" s="132" t="s">
        <v>226</v>
      </c>
      <c r="G9" s="132" t="s">
        <v>227</v>
      </c>
      <c r="H9" s="132" t="s">
        <v>228</v>
      </c>
      <c r="I9" s="132" t="s">
        <v>229</v>
      </c>
      <c r="J9" s="132" t="s">
        <v>230</v>
      </c>
    </row>
    <row r="10" ht="51" customHeight="1" spans="1:10">
      <c r="A10" s="163" t="s">
        <v>231</v>
      </c>
      <c r="B10" s="164" t="s">
        <v>232</v>
      </c>
      <c r="C10" s="165" t="s">
        <v>233</v>
      </c>
      <c r="D10" s="165"/>
      <c r="E10" s="165"/>
      <c r="F10" s="165"/>
      <c r="G10" s="165"/>
      <c r="H10" s="129" t="s">
        <v>234</v>
      </c>
      <c r="I10" s="129"/>
      <c r="J10" s="129"/>
    </row>
    <row r="11" s="1" customFormat="1" ht="114" customHeight="1" spans="1:10">
      <c r="A11" s="166"/>
      <c r="B11" s="137"/>
      <c r="C11" s="165" t="s">
        <v>235</v>
      </c>
      <c r="D11" s="165" t="s">
        <v>236</v>
      </c>
      <c r="E11" s="165" t="s">
        <v>237</v>
      </c>
      <c r="F11" s="165" t="s">
        <v>238</v>
      </c>
      <c r="G11" s="165" t="s">
        <v>239</v>
      </c>
      <c r="H11" s="132" t="s">
        <v>240</v>
      </c>
      <c r="I11" s="132" t="s">
        <v>241</v>
      </c>
      <c r="J11" s="132" t="s">
        <v>242</v>
      </c>
    </row>
    <row r="12" s="1" customFormat="1" ht="27" customHeight="1" spans="1:10">
      <c r="A12" s="163" t="s">
        <v>243</v>
      </c>
      <c r="B12" s="164" t="s">
        <v>244</v>
      </c>
      <c r="C12" s="165" t="s">
        <v>245</v>
      </c>
      <c r="D12" s="165"/>
      <c r="E12" s="165"/>
      <c r="F12" s="165"/>
      <c r="G12" s="165"/>
      <c r="H12" s="167" t="s">
        <v>246</v>
      </c>
      <c r="I12" s="132"/>
      <c r="J12" s="132"/>
    </row>
    <row r="13" s="1" customFormat="1" ht="63" customHeight="1" spans="1:10">
      <c r="A13" s="166"/>
      <c r="B13" s="137"/>
      <c r="C13" s="132" t="s">
        <v>247</v>
      </c>
      <c r="D13" s="132" t="s">
        <v>248</v>
      </c>
      <c r="E13" s="132" t="s">
        <v>249</v>
      </c>
      <c r="F13" s="132" t="s">
        <v>250</v>
      </c>
      <c r="G13" s="165" t="s">
        <v>251</v>
      </c>
      <c r="H13" s="132"/>
      <c r="I13" s="132"/>
      <c r="J13" s="132"/>
    </row>
  </sheetData>
  <mergeCells count="25">
    <mergeCell ref="C1:G1"/>
    <mergeCell ref="H1:J1"/>
    <mergeCell ref="C4:G4"/>
    <mergeCell ref="H4:J4"/>
    <mergeCell ref="C5:J5"/>
    <mergeCell ref="C6:G6"/>
    <mergeCell ref="H6:J6"/>
    <mergeCell ref="C7:G7"/>
    <mergeCell ref="H7:J7"/>
    <mergeCell ref="C8:G8"/>
    <mergeCell ref="H8:J8"/>
    <mergeCell ref="C10:G10"/>
    <mergeCell ref="H10:J10"/>
    <mergeCell ref="C12:G12"/>
    <mergeCell ref="A1:A2"/>
    <mergeCell ref="A3:A4"/>
    <mergeCell ref="A8:A9"/>
    <mergeCell ref="A10:A11"/>
    <mergeCell ref="A12:A13"/>
    <mergeCell ref="B1:B2"/>
    <mergeCell ref="B3:B4"/>
    <mergeCell ref="B8:B9"/>
    <mergeCell ref="B10:B11"/>
    <mergeCell ref="B12:B13"/>
    <mergeCell ref="H12:J1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E41"/>
  <sheetViews>
    <sheetView workbookViewId="0">
      <pane ySplit="3" topLeftCell="A4" activePane="bottomLeft" state="frozen"/>
      <selection/>
      <selection pane="bottomLeft" activeCell="A1" sqref="A1:B1"/>
    </sheetView>
  </sheetViews>
  <sheetFormatPr defaultColWidth="8.83333333333333" defaultRowHeight="13.5"/>
  <cols>
    <col min="1" max="1" width="5.5" style="133" customWidth="1"/>
    <col min="2" max="2" width="33.8333333333333" style="3" customWidth="1"/>
    <col min="3" max="3" width="9.66666666666667" style="29" customWidth="1"/>
    <col min="4" max="15" width="9.66666666666667" style="2" customWidth="1"/>
    <col min="16" max="16" width="9.66666666666667" style="29" customWidth="1"/>
    <col min="17" max="28" width="9.66666666666667" style="35" customWidth="1"/>
    <col min="29" max="29" width="9.66666666666667" style="134" customWidth="1"/>
    <col min="30" max="30" width="10.5" style="135" customWidth="1"/>
    <col min="31" max="31" width="10.5" style="136" customWidth="1"/>
  </cols>
  <sheetData>
    <row r="1" ht="21.75" customHeight="1" spans="1:31">
      <c r="A1" s="124" t="s">
        <v>252</v>
      </c>
      <c r="B1" s="137"/>
      <c r="C1" s="138" t="s">
        <v>188</v>
      </c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8"/>
      <c r="Q1" s="138" t="s">
        <v>189</v>
      </c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40" t="s">
        <v>253</v>
      </c>
      <c r="AD1" s="141" t="s">
        <v>254</v>
      </c>
      <c r="AE1" s="142"/>
    </row>
    <row r="2" ht="17.25" customHeight="1" spans="1:31">
      <c r="A2" s="143" t="s">
        <v>126</v>
      </c>
      <c r="B2" s="137"/>
      <c r="C2" s="143" t="s">
        <v>255</v>
      </c>
      <c r="D2" s="143" t="s">
        <v>190</v>
      </c>
      <c r="E2" s="143"/>
      <c r="F2" s="143"/>
      <c r="G2" s="124" t="s">
        <v>191</v>
      </c>
      <c r="H2" s="124"/>
      <c r="I2" s="124"/>
      <c r="J2" s="124" t="s">
        <v>192</v>
      </c>
      <c r="K2" s="124"/>
      <c r="L2" s="124"/>
      <c r="M2" s="124" t="s">
        <v>193</v>
      </c>
      <c r="N2" s="124"/>
      <c r="O2" s="124"/>
      <c r="P2" s="143" t="s">
        <v>194</v>
      </c>
      <c r="Q2" s="144" t="s">
        <v>256</v>
      </c>
      <c r="R2" s="144"/>
      <c r="S2" s="144"/>
      <c r="T2" s="144"/>
      <c r="U2" s="144" t="s">
        <v>257</v>
      </c>
      <c r="V2" s="144"/>
      <c r="W2" s="144"/>
      <c r="X2" s="144"/>
      <c r="Y2" s="143" t="s">
        <v>194</v>
      </c>
      <c r="Z2" s="143"/>
      <c r="AA2" s="143"/>
      <c r="AB2" s="143"/>
      <c r="AC2" s="142"/>
      <c r="AD2" s="142"/>
      <c r="AE2" s="142"/>
    </row>
    <row r="3" ht="17.25" customHeight="1" spans="1:31">
      <c r="A3" s="143" t="s">
        <v>258</v>
      </c>
      <c r="B3" s="137"/>
      <c r="C3" s="143" t="s">
        <v>16</v>
      </c>
      <c r="D3" s="124" t="s">
        <v>12</v>
      </c>
      <c r="E3" s="124" t="s">
        <v>16</v>
      </c>
      <c r="F3" s="124" t="s">
        <v>18</v>
      </c>
      <c r="G3" s="124" t="s">
        <v>12</v>
      </c>
      <c r="H3" s="124" t="s">
        <v>16</v>
      </c>
      <c r="I3" s="124" t="s">
        <v>18</v>
      </c>
      <c r="J3" s="124" t="s">
        <v>12</v>
      </c>
      <c r="K3" s="124" t="s">
        <v>16</v>
      </c>
      <c r="L3" s="124" t="s">
        <v>18</v>
      </c>
      <c r="M3" s="124" t="s">
        <v>12</v>
      </c>
      <c r="N3" s="124" t="s">
        <v>16</v>
      </c>
      <c r="O3" s="124" t="s">
        <v>18</v>
      </c>
      <c r="P3" s="143" t="s">
        <v>12</v>
      </c>
      <c r="Q3" s="143" t="s">
        <v>20</v>
      </c>
      <c r="R3" s="143" t="s">
        <v>22</v>
      </c>
      <c r="S3" s="143" t="s">
        <v>259</v>
      </c>
      <c r="T3" s="143" t="s">
        <v>26</v>
      </c>
      <c r="U3" s="143" t="s">
        <v>20</v>
      </c>
      <c r="V3" s="143" t="s">
        <v>22</v>
      </c>
      <c r="W3" s="143" t="s">
        <v>259</v>
      </c>
      <c r="X3" s="143" t="s">
        <v>26</v>
      </c>
      <c r="Y3" s="143" t="s">
        <v>20</v>
      </c>
      <c r="Z3" s="143" t="s">
        <v>22</v>
      </c>
      <c r="AA3" s="143" t="s">
        <v>259</v>
      </c>
      <c r="AB3" s="143" t="s">
        <v>26</v>
      </c>
      <c r="AC3" s="142"/>
      <c r="AD3" s="145" t="s">
        <v>120</v>
      </c>
      <c r="AE3" s="142" t="s">
        <v>123</v>
      </c>
    </row>
    <row r="4" ht="21" customHeight="1" spans="1:31">
      <c r="A4" s="124" t="s">
        <v>0</v>
      </c>
      <c r="B4" s="137" t="s">
        <v>1</v>
      </c>
      <c r="C4" s="146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46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8"/>
      <c r="AD4" s="149"/>
      <c r="AE4" s="149"/>
    </row>
    <row r="5" ht="21" customHeight="1" spans="1:31">
      <c r="A5" s="124" t="s">
        <v>196</v>
      </c>
      <c r="B5" s="150" t="s">
        <v>260</v>
      </c>
      <c r="C5" s="146">
        <v>538</v>
      </c>
      <c r="D5" s="146">
        <v>322</v>
      </c>
      <c r="E5" s="146">
        <v>540</v>
      </c>
      <c r="F5" s="146">
        <v>621</v>
      </c>
      <c r="G5" s="146">
        <v>637</v>
      </c>
      <c r="H5" s="146">
        <v>1039</v>
      </c>
      <c r="I5" s="146">
        <v>1203</v>
      </c>
      <c r="J5" s="146">
        <v>1263</v>
      </c>
      <c r="K5" s="146">
        <v>1982</v>
      </c>
      <c r="L5" s="146">
        <v>2346</v>
      </c>
      <c r="M5" s="146">
        <v>3159</v>
      </c>
      <c r="N5" s="146">
        <v>4392</v>
      </c>
      <c r="O5" s="146">
        <v>5328</v>
      </c>
      <c r="P5" s="146">
        <v>6317</v>
      </c>
      <c r="Q5" s="147">
        <v>6834</v>
      </c>
      <c r="R5" s="147">
        <v>6904</v>
      </c>
      <c r="S5" s="147">
        <v>6783</v>
      </c>
      <c r="T5" s="147">
        <v>7001</v>
      </c>
      <c r="U5" s="147">
        <v>8424</v>
      </c>
      <c r="V5" s="147">
        <v>8528</v>
      </c>
      <c r="W5" s="147">
        <v>9410</v>
      </c>
      <c r="X5" s="147">
        <v>8609</v>
      </c>
      <c r="Y5" s="147">
        <v>11696</v>
      </c>
      <c r="Z5" s="147">
        <v>11825</v>
      </c>
      <c r="AA5" s="147">
        <v>12594</v>
      </c>
      <c r="AB5" s="147">
        <v>11953</v>
      </c>
      <c r="AC5" s="148">
        <f>SUM(AC6:AC11)</f>
        <v>1754.17</v>
      </c>
      <c r="AD5" s="149">
        <f>AC5/100*10</f>
        <v>175.417</v>
      </c>
      <c r="AE5" s="149">
        <f>I5/100*10</f>
        <v>120.3</v>
      </c>
    </row>
    <row r="6" ht="21" customHeight="1" spans="1:31">
      <c r="A6" s="128">
        <v>1</v>
      </c>
      <c r="B6" s="132" t="s">
        <v>261</v>
      </c>
      <c r="C6" s="146">
        <v>40</v>
      </c>
      <c r="D6" s="146">
        <v>5</v>
      </c>
      <c r="E6" s="146">
        <v>40</v>
      </c>
      <c r="F6" s="128">
        <v>40</v>
      </c>
      <c r="G6" s="128">
        <v>8</v>
      </c>
      <c r="H6" s="128">
        <v>60</v>
      </c>
      <c r="I6" s="128">
        <v>60</v>
      </c>
      <c r="J6" s="128">
        <v>11</v>
      </c>
      <c r="K6" s="128">
        <v>72</v>
      </c>
      <c r="L6" s="128">
        <v>90</v>
      </c>
      <c r="M6" s="128">
        <v>28</v>
      </c>
      <c r="N6" s="128">
        <v>130</v>
      </c>
      <c r="O6" s="128">
        <v>225</v>
      </c>
      <c r="P6" s="146">
        <v>56</v>
      </c>
      <c r="Q6" s="147">
        <v>1800</v>
      </c>
      <c r="R6" s="147">
        <v>1800</v>
      </c>
      <c r="S6" s="147">
        <v>1800</v>
      </c>
      <c r="T6" s="147">
        <v>1800</v>
      </c>
      <c r="U6" s="147">
        <v>1800</v>
      </c>
      <c r="V6" s="147">
        <v>1800</v>
      </c>
      <c r="W6" s="147">
        <v>1800</v>
      </c>
      <c r="X6" s="147">
        <v>1800</v>
      </c>
      <c r="Y6" s="147">
        <v>2040</v>
      </c>
      <c r="Z6" s="147">
        <v>2040</v>
      </c>
      <c r="AA6" s="147">
        <v>2040</v>
      </c>
      <c r="AB6" s="147">
        <v>2040</v>
      </c>
      <c r="AC6" s="151">
        <v>220</v>
      </c>
      <c r="AD6" s="149">
        <f>AC6/100*10</f>
        <v>22</v>
      </c>
      <c r="AE6" s="149">
        <f>I6/100*10</f>
        <v>6</v>
      </c>
    </row>
    <row r="7" ht="21" customHeight="1" spans="1:31">
      <c r="A7" s="128">
        <v>2</v>
      </c>
      <c r="B7" s="132" t="s">
        <v>262</v>
      </c>
      <c r="C7" s="146">
        <v>40</v>
      </c>
      <c r="D7" s="146">
        <v>10</v>
      </c>
      <c r="E7" s="146">
        <v>40</v>
      </c>
      <c r="F7" s="128">
        <v>40</v>
      </c>
      <c r="G7" s="128">
        <v>15</v>
      </c>
      <c r="H7" s="128">
        <v>60</v>
      </c>
      <c r="I7" s="128">
        <v>60</v>
      </c>
      <c r="J7" s="128">
        <v>23</v>
      </c>
      <c r="K7" s="128">
        <v>72</v>
      </c>
      <c r="L7" s="128">
        <v>90</v>
      </c>
      <c r="M7" s="128">
        <v>56</v>
      </c>
      <c r="N7" s="128">
        <v>130</v>
      </c>
      <c r="O7" s="128">
        <v>225</v>
      </c>
      <c r="P7" s="146">
        <v>113</v>
      </c>
      <c r="Q7" s="147" t="s">
        <v>14</v>
      </c>
      <c r="R7" s="147" t="s">
        <v>14</v>
      </c>
      <c r="S7" s="147" t="s">
        <v>14</v>
      </c>
      <c r="T7" s="147" t="s">
        <v>14</v>
      </c>
      <c r="U7" s="147" t="s">
        <v>14</v>
      </c>
      <c r="V7" s="147" t="s">
        <v>14</v>
      </c>
      <c r="W7" s="147" t="s">
        <v>14</v>
      </c>
      <c r="X7" s="147" t="s">
        <v>14</v>
      </c>
      <c r="Y7" s="147" t="s">
        <v>14</v>
      </c>
      <c r="Z7" s="147" t="s">
        <v>14</v>
      </c>
      <c r="AA7" s="147" t="s">
        <v>14</v>
      </c>
      <c r="AB7" s="147" t="s">
        <v>14</v>
      </c>
      <c r="AC7" s="151">
        <v>35</v>
      </c>
      <c r="AD7" s="149">
        <f>AC7/100*10</f>
        <v>3.5</v>
      </c>
      <c r="AE7" s="149">
        <f>I7/100*10</f>
        <v>6</v>
      </c>
    </row>
    <row r="8" ht="21" customHeight="1" spans="1:31">
      <c r="A8" s="128">
        <v>3</v>
      </c>
      <c r="B8" s="132" t="s">
        <v>263</v>
      </c>
      <c r="C8" s="146">
        <v>123</v>
      </c>
      <c r="D8" s="146">
        <v>86</v>
      </c>
      <c r="E8" s="146">
        <v>123</v>
      </c>
      <c r="F8" s="128">
        <v>148</v>
      </c>
      <c r="G8" s="128">
        <v>173</v>
      </c>
      <c r="H8" s="128">
        <v>246</v>
      </c>
      <c r="I8" s="128">
        <v>296</v>
      </c>
      <c r="J8" s="128">
        <v>345</v>
      </c>
      <c r="K8" s="128">
        <v>493</v>
      </c>
      <c r="L8" s="128">
        <v>592</v>
      </c>
      <c r="M8" s="128">
        <v>864</v>
      </c>
      <c r="N8" s="128">
        <v>1231</v>
      </c>
      <c r="O8" s="128">
        <v>1480</v>
      </c>
      <c r="P8" s="146">
        <v>1727</v>
      </c>
      <c r="Q8" s="147" t="s">
        <v>14</v>
      </c>
      <c r="R8" s="147" t="s">
        <v>14</v>
      </c>
      <c r="S8" s="147" t="s">
        <v>14</v>
      </c>
      <c r="T8" s="147" t="s">
        <v>14</v>
      </c>
      <c r="U8" s="147" t="s">
        <v>14</v>
      </c>
      <c r="V8" s="147" t="s">
        <v>14</v>
      </c>
      <c r="W8" s="147" t="s">
        <v>14</v>
      </c>
      <c r="X8" s="147" t="s">
        <v>14</v>
      </c>
      <c r="Y8" s="147" t="s">
        <v>14</v>
      </c>
      <c r="Z8" s="147" t="s">
        <v>14</v>
      </c>
      <c r="AA8" s="147" t="s">
        <v>14</v>
      </c>
      <c r="AB8" s="147" t="s">
        <v>14</v>
      </c>
      <c r="AC8" s="148">
        <v>823.08</v>
      </c>
      <c r="AD8" s="149">
        <f>AC8/100*10</f>
        <v>82.308</v>
      </c>
      <c r="AE8" s="149">
        <f>I8/100*10</f>
        <v>29.6</v>
      </c>
    </row>
    <row r="9" ht="21" customHeight="1" spans="1:31">
      <c r="A9" s="128"/>
      <c r="B9" s="152" t="s">
        <v>264</v>
      </c>
      <c r="C9" s="146" t="s">
        <v>14</v>
      </c>
      <c r="D9" s="146" t="s">
        <v>14</v>
      </c>
      <c r="E9" s="146" t="s">
        <v>14</v>
      </c>
      <c r="F9" s="146" t="s">
        <v>14</v>
      </c>
      <c r="G9" s="146" t="s">
        <v>14</v>
      </c>
      <c r="H9" s="146" t="s">
        <v>14</v>
      </c>
      <c r="I9" s="146" t="s">
        <v>14</v>
      </c>
      <c r="J9" s="146" t="s">
        <v>14</v>
      </c>
      <c r="K9" s="146" t="s">
        <v>14</v>
      </c>
      <c r="L9" s="146" t="s">
        <v>14</v>
      </c>
      <c r="M9" s="146" t="s">
        <v>14</v>
      </c>
      <c r="N9" s="146" t="s">
        <v>14</v>
      </c>
      <c r="O9" s="146" t="s">
        <v>14</v>
      </c>
      <c r="P9" s="146" t="s">
        <v>14</v>
      </c>
      <c r="Q9" s="147">
        <v>1550</v>
      </c>
      <c r="R9" s="147">
        <v>1550</v>
      </c>
      <c r="S9" s="147">
        <v>1550</v>
      </c>
      <c r="T9" s="147">
        <v>1550</v>
      </c>
      <c r="U9" s="147">
        <v>1860</v>
      </c>
      <c r="V9" s="147">
        <v>1860</v>
      </c>
      <c r="W9" s="147">
        <v>1860</v>
      </c>
      <c r="X9" s="147">
        <v>1860</v>
      </c>
      <c r="Y9" s="147">
        <v>2700</v>
      </c>
      <c r="Z9" s="147">
        <v>2700</v>
      </c>
      <c r="AA9" s="147">
        <v>2700</v>
      </c>
      <c r="AB9" s="147">
        <v>2700</v>
      </c>
      <c r="AC9" s="148"/>
      <c r="AD9" s="149"/>
      <c r="AE9" s="149"/>
    </row>
    <row r="10" ht="21" customHeight="1" spans="1:31">
      <c r="A10" s="128">
        <v>4</v>
      </c>
      <c r="B10" s="132" t="s">
        <v>265</v>
      </c>
      <c r="C10" s="146">
        <v>105</v>
      </c>
      <c r="D10" s="146">
        <v>40</v>
      </c>
      <c r="E10" s="146">
        <v>105</v>
      </c>
      <c r="F10" s="128">
        <v>125</v>
      </c>
      <c r="G10" s="128">
        <v>80</v>
      </c>
      <c r="H10" s="128">
        <v>210</v>
      </c>
      <c r="I10" s="128">
        <v>250</v>
      </c>
      <c r="J10" s="128">
        <v>160</v>
      </c>
      <c r="K10" s="128">
        <v>420</v>
      </c>
      <c r="L10" s="128">
        <v>500</v>
      </c>
      <c r="M10" s="128">
        <v>400</v>
      </c>
      <c r="N10" s="128">
        <v>1050</v>
      </c>
      <c r="O10" s="128">
        <v>1250</v>
      </c>
      <c r="P10" s="146">
        <v>800</v>
      </c>
      <c r="Q10" s="147">
        <v>560</v>
      </c>
      <c r="R10" s="147">
        <v>560</v>
      </c>
      <c r="S10" s="147">
        <v>560</v>
      </c>
      <c r="T10" s="147">
        <v>560</v>
      </c>
      <c r="U10" s="147">
        <v>560</v>
      </c>
      <c r="V10" s="147">
        <v>560</v>
      </c>
      <c r="W10" s="147">
        <v>560</v>
      </c>
      <c r="X10" s="147">
        <v>560</v>
      </c>
      <c r="Y10" s="147">
        <v>800</v>
      </c>
      <c r="Z10" s="147">
        <v>800</v>
      </c>
      <c r="AA10" s="147">
        <v>800</v>
      </c>
      <c r="AB10" s="147">
        <v>800</v>
      </c>
      <c r="AC10" s="148">
        <v>258.53</v>
      </c>
      <c r="AD10" s="149">
        <f>AC10/100*10</f>
        <v>25.853</v>
      </c>
      <c r="AE10" s="149">
        <f>I10/100*10</f>
        <v>25</v>
      </c>
    </row>
    <row r="11" ht="21" customHeight="1" spans="1:31">
      <c r="A11" s="128">
        <v>5</v>
      </c>
      <c r="B11" s="132" t="s">
        <v>266</v>
      </c>
      <c r="C11" s="146">
        <v>230</v>
      </c>
      <c r="D11" s="146">
        <v>181</v>
      </c>
      <c r="E11" s="146">
        <v>231</v>
      </c>
      <c r="F11" s="128">
        <v>268</v>
      </c>
      <c r="G11" s="128">
        <v>362</v>
      </c>
      <c r="H11" s="128">
        <v>463</v>
      </c>
      <c r="I11" s="128">
        <v>537</v>
      </c>
      <c r="J11" s="128">
        <v>724</v>
      </c>
      <c r="K11" s="128">
        <v>926</v>
      </c>
      <c r="L11" s="128">
        <v>1074</v>
      </c>
      <c r="M11" s="128">
        <v>1811</v>
      </c>
      <c r="N11" s="128">
        <v>1851</v>
      </c>
      <c r="O11" s="128">
        <v>2148</v>
      </c>
      <c r="P11" s="146">
        <v>3621</v>
      </c>
      <c r="Q11" s="147">
        <v>2924</v>
      </c>
      <c r="R11" s="147">
        <v>2994</v>
      </c>
      <c r="S11" s="147">
        <v>3522</v>
      </c>
      <c r="T11" s="147">
        <v>3091</v>
      </c>
      <c r="U11" s="147">
        <v>4204</v>
      </c>
      <c r="V11" s="147">
        <v>4308</v>
      </c>
      <c r="W11" s="147">
        <v>5190</v>
      </c>
      <c r="X11" s="147">
        <v>4389</v>
      </c>
      <c r="Y11" s="147">
        <v>6156</v>
      </c>
      <c r="Z11" s="147">
        <v>6285</v>
      </c>
      <c r="AA11" s="147">
        <v>7054</v>
      </c>
      <c r="AB11" s="147">
        <v>6413</v>
      </c>
      <c r="AC11" s="148">
        <v>417.56</v>
      </c>
      <c r="AD11" s="149">
        <f>AC11/100*10</f>
        <v>41.756</v>
      </c>
      <c r="AE11" s="149">
        <f>I11/100*10</f>
        <v>53.7</v>
      </c>
    </row>
    <row r="12" ht="21" customHeight="1" spans="1:31">
      <c r="A12" s="124" t="s">
        <v>208</v>
      </c>
      <c r="B12" s="150" t="s">
        <v>267</v>
      </c>
      <c r="C12" s="146">
        <v>16689</v>
      </c>
      <c r="D12" s="146">
        <v>15888</v>
      </c>
      <c r="E12" s="146">
        <v>16191</v>
      </c>
      <c r="F12" s="146">
        <v>17168</v>
      </c>
      <c r="G12" s="146">
        <v>30950</v>
      </c>
      <c r="H12" s="146">
        <v>31623</v>
      </c>
      <c r="I12" s="146">
        <v>33510</v>
      </c>
      <c r="J12" s="146">
        <v>60432</v>
      </c>
      <c r="K12" s="146">
        <v>60861</v>
      </c>
      <c r="L12" s="146">
        <v>64345</v>
      </c>
      <c r="M12" s="146">
        <v>147633</v>
      </c>
      <c r="N12" s="146">
        <v>149062</v>
      </c>
      <c r="O12" s="146">
        <v>158338</v>
      </c>
      <c r="P12" s="146">
        <v>289790</v>
      </c>
      <c r="Q12" s="147">
        <v>201613</v>
      </c>
      <c r="R12" s="147">
        <v>203100</v>
      </c>
      <c r="S12" s="147">
        <v>207586</v>
      </c>
      <c r="T12" s="147">
        <v>205824</v>
      </c>
      <c r="U12" s="147">
        <v>303998</v>
      </c>
      <c r="V12" s="147">
        <v>306225</v>
      </c>
      <c r="W12" s="147">
        <v>313072</v>
      </c>
      <c r="X12" s="147">
        <v>310469</v>
      </c>
      <c r="Y12" s="147">
        <v>582763</v>
      </c>
      <c r="Z12" s="147">
        <v>586513</v>
      </c>
      <c r="AA12" s="147">
        <v>597413</v>
      </c>
      <c r="AB12" s="147">
        <v>592813</v>
      </c>
      <c r="AC12" s="148">
        <f>SUM(AC13:AC18)</f>
        <v>31128.82</v>
      </c>
      <c r="AD12" s="149">
        <f>AC12/100*10</f>
        <v>3112.882</v>
      </c>
      <c r="AE12" s="149">
        <f>I12/100*10</f>
        <v>3351</v>
      </c>
    </row>
    <row r="13" ht="21" customHeight="1" spans="1:31">
      <c r="A13" s="128">
        <v>1</v>
      </c>
      <c r="B13" s="132" t="s">
        <v>268</v>
      </c>
      <c r="C13" s="146">
        <v>13277</v>
      </c>
      <c r="D13" s="146">
        <v>12558</v>
      </c>
      <c r="E13" s="146">
        <v>12395</v>
      </c>
      <c r="F13" s="128">
        <v>12535</v>
      </c>
      <c r="G13" s="128">
        <v>25116</v>
      </c>
      <c r="H13" s="128">
        <v>24791</v>
      </c>
      <c r="I13" s="128">
        <v>25071</v>
      </c>
      <c r="J13" s="128">
        <v>50231</v>
      </c>
      <c r="K13" s="128">
        <v>49581</v>
      </c>
      <c r="L13" s="128">
        <v>50141</v>
      </c>
      <c r="M13" s="128">
        <v>125579</v>
      </c>
      <c r="N13" s="128">
        <v>123954</v>
      </c>
      <c r="O13" s="128">
        <v>125354</v>
      </c>
      <c r="P13" s="146">
        <v>251157</v>
      </c>
      <c r="Q13" s="147">
        <v>129934</v>
      </c>
      <c r="R13" s="147">
        <v>131009</v>
      </c>
      <c r="S13" s="147">
        <v>134259</v>
      </c>
      <c r="T13" s="147">
        <v>132909</v>
      </c>
      <c r="U13" s="147">
        <v>220818</v>
      </c>
      <c r="V13" s="147">
        <v>222633</v>
      </c>
      <c r="W13" s="147">
        <v>228403</v>
      </c>
      <c r="X13" s="147">
        <v>226053</v>
      </c>
      <c r="Y13" s="147">
        <v>431216</v>
      </c>
      <c r="Z13" s="147">
        <v>434966</v>
      </c>
      <c r="AA13" s="147">
        <v>445866</v>
      </c>
      <c r="AB13" s="147">
        <v>441266</v>
      </c>
      <c r="AC13" s="148">
        <v>27197.17</v>
      </c>
      <c r="AD13" s="149">
        <f>AC13/100*10</f>
        <v>2719.717</v>
      </c>
      <c r="AE13" s="149">
        <f>I13/100*10</f>
        <v>2507.1</v>
      </c>
    </row>
    <row r="14" ht="21" customHeight="1" spans="1:31">
      <c r="A14" s="128">
        <v>2</v>
      </c>
      <c r="B14" s="132" t="s">
        <v>269</v>
      </c>
      <c r="C14" s="146">
        <v>2263</v>
      </c>
      <c r="D14" s="146">
        <v>1006</v>
      </c>
      <c r="E14" s="146">
        <v>1376</v>
      </c>
      <c r="F14" s="128">
        <v>2308</v>
      </c>
      <c r="G14" s="128">
        <v>2012</v>
      </c>
      <c r="H14" s="128">
        <v>2853</v>
      </c>
      <c r="I14" s="128">
        <v>4617</v>
      </c>
      <c r="J14" s="128">
        <v>5231</v>
      </c>
      <c r="K14" s="128">
        <v>6106</v>
      </c>
      <c r="L14" s="128">
        <v>9234</v>
      </c>
      <c r="M14" s="128">
        <v>13078</v>
      </c>
      <c r="N14" s="128">
        <v>15765</v>
      </c>
      <c r="O14" s="128">
        <v>24008</v>
      </c>
      <c r="P14" s="146">
        <v>26155</v>
      </c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8">
        <v>1961.88</v>
      </c>
      <c r="AD14" s="149">
        <f>AC14/100*10</f>
        <v>196.188</v>
      </c>
      <c r="AE14" s="149">
        <f>I14/100*10</f>
        <v>461.7</v>
      </c>
    </row>
    <row r="15" ht="21" customHeight="1" spans="1:31">
      <c r="A15" s="128"/>
      <c r="B15" s="152" t="s">
        <v>270</v>
      </c>
      <c r="C15" s="146" t="s">
        <v>14</v>
      </c>
      <c r="D15" s="146" t="s">
        <v>14</v>
      </c>
      <c r="E15" s="146" t="s">
        <v>14</v>
      </c>
      <c r="F15" s="146" t="s">
        <v>14</v>
      </c>
      <c r="G15" s="146" t="s">
        <v>14</v>
      </c>
      <c r="H15" s="146" t="s">
        <v>14</v>
      </c>
      <c r="I15" s="146" t="s">
        <v>14</v>
      </c>
      <c r="J15" s="146" t="s">
        <v>14</v>
      </c>
      <c r="K15" s="146" t="s">
        <v>14</v>
      </c>
      <c r="L15" s="146" t="s">
        <v>14</v>
      </c>
      <c r="M15" s="146" t="s">
        <v>14</v>
      </c>
      <c r="N15" s="146" t="s">
        <v>14</v>
      </c>
      <c r="O15" s="146" t="s">
        <v>14</v>
      </c>
      <c r="P15" s="146" t="s">
        <v>14</v>
      </c>
      <c r="Q15" s="147">
        <v>46431</v>
      </c>
      <c r="R15" s="147">
        <v>46843</v>
      </c>
      <c r="S15" s="147">
        <v>48079</v>
      </c>
      <c r="T15" s="147">
        <v>47667</v>
      </c>
      <c r="U15" s="147">
        <v>54078</v>
      </c>
      <c r="V15" s="147">
        <v>54490</v>
      </c>
      <c r="W15" s="147">
        <v>55567</v>
      </c>
      <c r="X15" s="147">
        <v>55314</v>
      </c>
      <c r="Y15" s="147">
        <v>106287</v>
      </c>
      <c r="Z15" s="147">
        <v>106287</v>
      </c>
      <c r="AA15" s="147">
        <v>106287</v>
      </c>
      <c r="AB15" s="147">
        <v>106287</v>
      </c>
      <c r="AC15" s="148"/>
      <c r="AD15" s="149"/>
      <c r="AE15" s="149"/>
    </row>
    <row r="16" ht="21" customHeight="1" spans="1:31">
      <c r="A16" s="128">
        <v>3</v>
      </c>
      <c r="B16" s="132" t="s">
        <v>271</v>
      </c>
      <c r="C16" s="146">
        <v>1080</v>
      </c>
      <c r="D16" s="146">
        <v>2244</v>
      </c>
      <c r="E16" s="146">
        <v>2339</v>
      </c>
      <c r="F16" s="128">
        <v>2244</v>
      </c>
      <c r="G16" s="128">
        <v>3703</v>
      </c>
      <c r="H16" s="128">
        <v>3860</v>
      </c>
      <c r="I16" s="128">
        <v>3703</v>
      </c>
      <c r="J16" s="128">
        <v>4814</v>
      </c>
      <c r="K16" s="128">
        <v>5018</v>
      </c>
      <c r="L16" s="128">
        <v>4814</v>
      </c>
      <c r="M16" s="128">
        <v>8665</v>
      </c>
      <c r="N16" s="128">
        <v>9033</v>
      </c>
      <c r="O16" s="128">
        <v>8665</v>
      </c>
      <c r="P16" s="146">
        <v>12045</v>
      </c>
      <c r="Q16" s="147">
        <v>9571</v>
      </c>
      <c r="R16" s="147">
        <v>9571</v>
      </c>
      <c r="S16" s="147">
        <v>9571</v>
      </c>
      <c r="T16" s="147">
        <v>9571</v>
      </c>
      <c r="U16" s="147">
        <v>10898</v>
      </c>
      <c r="V16" s="147">
        <v>10898</v>
      </c>
      <c r="W16" s="147">
        <v>10898</v>
      </c>
      <c r="X16" s="147">
        <v>10898</v>
      </c>
      <c r="Y16" s="147">
        <v>20374</v>
      </c>
      <c r="Z16" s="147">
        <v>20374</v>
      </c>
      <c r="AA16" s="147">
        <v>20374</v>
      </c>
      <c r="AB16" s="147">
        <v>20374</v>
      </c>
      <c r="AC16" s="148">
        <v>1775.54</v>
      </c>
      <c r="AD16" s="149">
        <f>AC16/100*10</f>
        <v>177.554</v>
      </c>
      <c r="AE16" s="149">
        <f>I16/100*10</f>
        <v>370.3</v>
      </c>
    </row>
    <row r="17" ht="21" customHeight="1" spans="1:31">
      <c r="A17" s="128"/>
      <c r="B17" s="152" t="s">
        <v>272</v>
      </c>
      <c r="C17" s="146" t="s">
        <v>14</v>
      </c>
      <c r="D17" s="146" t="s">
        <v>14</v>
      </c>
      <c r="E17" s="146" t="s">
        <v>14</v>
      </c>
      <c r="F17" s="146" t="s">
        <v>14</v>
      </c>
      <c r="G17" s="146" t="s">
        <v>14</v>
      </c>
      <c r="H17" s="146" t="s">
        <v>14</v>
      </c>
      <c r="I17" s="146" t="s">
        <v>14</v>
      </c>
      <c r="J17" s="146" t="s">
        <v>14</v>
      </c>
      <c r="K17" s="146" t="s">
        <v>14</v>
      </c>
      <c r="L17" s="146" t="s">
        <v>14</v>
      </c>
      <c r="M17" s="146" t="s">
        <v>14</v>
      </c>
      <c r="N17" s="146" t="s">
        <v>14</v>
      </c>
      <c r="O17" s="146" t="s">
        <v>14</v>
      </c>
      <c r="P17" s="146" t="s">
        <v>14</v>
      </c>
      <c r="Q17" s="147">
        <v>7790</v>
      </c>
      <c r="R17" s="147">
        <v>7790</v>
      </c>
      <c r="S17" s="147">
        <v>7790</v>
      </c>
      <c r="T17" s="147">
        <v>7790</v>
      </c>
      <c r="U17" s="147">
        <v>9697</v>
      </c>
      <c r="V17" s="147">
        <v>9697</v>
      </c>
      <c r="W17" s="147">
        <v>9697</v>
      </c>
      <c r="X17" s="147">
        <v>9697</v>
      </c>
      <c r="Y17" s="147">
        <v>13404</v>
      </c>
      <c r="Z17" s="147">
        <v>13404</v>
      </c>
      <c r="AA17" s="147">
        <v>13404</v>
      </c>
      <c r="AB17" s="147">
        <v>13404</v>
      </c>
      <c r="AC17" s="148"/>
      <c r="AD17" s="149"/>
      <c r="AE17" s="149"/>
    </row>
    <row r="18" ht="21" customHeight="1" spans="1:31">
      <c r="A18" s="128">
        <v>4</v>
      </c>
      <c r="B18" s="132" t="s">
        <v>273</v>
      </c>
      <c r="C18" s="146">
        <v>69</v>
      </c>
      <c r="D18" s="146">
        <v>80</v>
      </c>
      <c r="E18" s="146">
        <v>80</v>
      </c>
      <c r="F18" s="128">
        <v>80</v>
      </c>
      <c r="G18" s="128">
        <v>120</v>
      </c>
      <c r="H18" s="128">
        <v>120</v>
      </c>
      <c r="I18" s="128">
        <v>120</v>
      </c>
      <c r="J18" s="128">
        <v>155</v>
      </c>
      <c r="K18" s="128">
        <v>155</v>
      </c>
      <c r="L18" s="128">
        <v>155</v>
      </c>
      <c r="M18" s="128">
        <v>311</v>
      </c>
      <c r="N18" s="128">
        <v>311</v>
      </c>
      <c r="O18" s="128">
        <v>311</v>
      </c>
      <c r="P18" s="146">
        <v>432</v>
      </c>
      <c r="Q18" s="147">
        <v>7887</v>
      </c>
      <c r="R18" s="147">
        <v>7887</v>
      </c>
      <c r="S18" s="147">
        <v>7887</v>
      </c>
      <c r="T18" s="147">
        <v>7887</v>
      </c>
      <c r="U18" s="147">
        <v>8507</v>
      </c>
      <c r="V18" s="147">
        <v>8507</v>
      </c>
      <c r="W18" s="147">
        <v>8507</v>
      </c>
      <c r="X18" s="147">
        <v>8507</v>
      </c>
      <c r="Y18" s="147">
        <v>11482</v>
      </c>
      <c r="Z18" s="147">
        <v>11482</v>
      </c>
      <c r="AA18" s="147">
        <v>11482</v>
      </c>
      <c r="AB18" s="147">
        <v>11482</v>
      </c>
      <c r="AC18" s="148">
        <v>194.23</v>
      </c>
      <c r="AD18" s="149">
        <f>AC18/100*10</f>
        <v>19.423</v>
      </c>
      <c r="AE18" s="149">
        <f>I18/100*10</f>
        <v>12</v>
      </c>
    </row>
    <row r="19" ht="21" customHeight="1" spans="1:31">
      <c r="A19" s="124" t="s">
        <v>211</v>
      </c>
      <c r="B19" s="150" t="s">
        <v>274</v>
      </c>
      <c r="C19" s="146">
        <v>3815</v>
      </c>
      <c r="D19" s="146">
        <v>2894</v>
      </c>
      <c r="E19" s="146">
        <v>4044</v>
      </c>
      <c r="F19" s="146">
        <v>4897</v>
      </c>
      <c r="G19" s="146">
        <v>5556</v>
      </c>
      <c r="H19" s="146">
        <v>7780</v>
      </c>
      <c r="I19" s="146">
        <v>9563</v>
      </c>
      <c r="J19" s="146">
        <v>11101</v>
      </c>
      <c r="K19" s="146">
        <v>14544</v>
      </c>
      <c r="L19" s="146">
        <v>18363</v>
      </c>
      <c r="M19" s="146">
        <v>28690</v>
      </c>
      <c r="N19" s="146">
        <v>35039</v>
      </c>
      <c r="O19" s="146">
        <v>45825</v>
      </c>
      <c r="P19" s="146">
        <v>60820</v>
      </c>
      <c r="Q19" s="147">
        <v>78963</v>
      </c>
      <c r="R19" s="147">
        <v>79108</v>
      </c>
      <c r="S19" s="147">
        <v>103588</v>
      </c>
      <c r="T19" s="147">
        <v>88018</v>
      </c>
      <c r="U19" s="147">
        <v>125399</v>
      </c>
      <c r="V19" s="147">
        <v>125541</v>
      </c>
      <c r="W19" s="147">
        <v>165028</v>
      </c>
      <c r="X19" s="147">
        <v>140886</v>
      </c>
      <c r="Y19" s="147">
        <v>222501</v>
      </c>
      <c r="Z19" s="147">
        <v>222855</v>
      </c>
      <c r="AA19" s="147">
        <v>298844</v>
      </c>
      <c r="AB19" s="147">
        <v>252050</v>
      </c>
      <c r="AC19" s="148">
        <f>SUM(AC20:AC26)</f>
        <v>15303.7</v>
      </c>
      <c r="AD19" s="149">
        <f>AC19/100*10</f>
        <v>1530.37</v>
      </c>
      <c r="AE19" s="149">
        <f>I19/100*10</f>
        <v>956.3</v>
      </c>
    </row>
    <row r="20" ht="21" customHeight="1" spans="1:31">
      <c r="A20" s="128">
        <v>1</v>
      </c>
      <c r="B20" s="132" t="s">
        <v>275</v>
      </c>
      <c r="C20" s="146">
        <v>1752</v>
      </c>
      <c r="D20" s="146">
        <v>1336</v>
      </c>
      <c r="E20" s="146">
        <v>1650</v>
      </c>
      <c r="F20" s="128">
        <v>1627</v>
      </c>
      <c r="G20" s="128">
        <v>2672</v>
      </c>
      <c r="H20" s="128">
        <v>3364</v>
      </c>
      <c r="I20" s="128">
        <v>3354</v>
      </c>
      <c r="J20" s="128">
        <v>5345</v>
      </c>
      <c r="K20" s="128">
        <v>6379</v>
      </c>
      <c r="L20" s="128">
        <v>6858</v>
      </c>
      <c r="M20" s="128">
        <v>15811</v>
      </c>
      <c r="N20" s="128">
        <v>17797</v>
      </c>
      <c r="O20" s="128">
        <v>19591</v>
      </c>
      <c r="P20" s="146">
        <v>35223</v>
      </c>
      <c r="Q20" s="147">
        <v>53763</v>
      </c>
      <c r="R20" s="147">
        <v>53644</v>
      </c>
      <c r="S20" s="147">
        <v>75291</v>
      </c>
      <c r="T20" s="147">
        <v>62156</v>
      </c>
      <c r="U20" s="147">
        <v>93588</v>
      </c>
      <c r="V20" s="147">
        <v>93380</v>
      </c>
      <c r="W20" s="147">
        <v>131062</v>
      </c>
      <c r="X20" s="147">
        <v>108198</v>
      </c>
      <c r="Y20" s="147">
        <v>181203</v>
      </c>
      <c r="Z20" s="147">
        <v>180799</v>
      </c>
      <c r="AA20" s="147">
        <v>253758</v>
      </c>
      <c r="AB20" s="147">
        <v>209489</v>
      </c>
      <c r="AC20" s="148">
        <v>2254.22</v>
      </c>
      <c r="AD20" s="149">
        <f>AC20/100*10</f>
        <v>225.422</v>
      </c>
      <c r="AE20" s="149">
        <f>I20/100*10</f>
        <v>335.4</v>
      </c>
    </row>
    <row r="21" ht="21" customHeight="1" spans="1:31">
      <c r="A21" s="128">
        <v>2</v>
      </c>
      <c r="B21" s="132" t="s">
        <v>276</v>
      </c>
      <c r="C21" s="146">
        <v>327</v>
      </c>
      <c r="D21" s="146">
        <v>214</v>
      </c>
      <c r="E21" s="146">
        <v>324</v>
      </c>
      <c r="F21" s="128">
        <v>370</v>
      </c>
      <c r="G21" s="128">
        <v>428</v>
      </c>
      <c r="H21" s="128">
        <v>649</v>
      </c>
      <c r="I21" s="128">
        <v>742</v>
      </c>
      <c r="J21" s="128">
        <v>1113</v>
      </c>
      <c r="K21" s="128">
        <v>1298</v>
      </c>
      <c r="L21" s="128">
        <v>1625</v>
      </c>
      <c r="M21" s="128">
        <v>2784</v>
      </c>
      <c r="N21" s="128">
        <v>3244</v>
      </c>
      <c r="O21" s="128">
        <v>4224</v>
      </c>
      <c r="P21" s="146">
        <v>5567</v>
      </c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8">
        <v>443.33</v>
      </c>
      <c r="AD21" s="149">
        <f>AC21/100*10</f>
        <v>44.333</v>
      </c>
      <c r="AE21" s="149">
        <f>I21/100*10</f>
        <v>74.2</v>
      </c>
    </row>
    <row r="22" ht="21" customHeight="1" spans="1:31">
      <c r="A22" s="128">
        <v>3</v>
      </c>
      <c r="B22" s="132" t="s">
        <v>277</v>
      </c>
      <c r="C22" s="146">
        <v>620</v>
      </c>
      <c r="D22" s="146">
        <v>736</v>
      </c>
      <c r="E22" s="146">
        <v>930</v>
      </c>
      <c r="F22" s="128">
        <v>933</v>
      </c>
      <c r="G22" s="128">
        <v>1215</v>
      </c>
      <c r="H22" s="128">
        <v>1452</v>
      </c>
      <c r="I22" s="128">
        <v>1466</v>
      </c>
      <c r="J22" s="128">
        <v>2168</v>
      </c>
      <c r="K22" s="128">
        <v>2938</v>
      </c>
      <c r="L22" s="128">
        <v>2948</v>
      </c>
      <c r="M22" s="128">
        <v>3852</v>
      </c>
      <c r="N22" s="128">
        <v>4698</v>
      </c>
      <c r="O22" s="128">
        <v>4952</v>
      </c>
      <c r="P22" s="146">
        <v>7547</v>
      </c>
      <c r="Q22" s="147">
        <v>12601</v>
      </c>
      <c r="R22" s="147">
        <v>12866</v>
      </c>
      <c r="S22" s="147">
        <v>15700</v>
      </c>
      <c r="T22" s="147">
        <v>13264</v>
      </c>
      <c r="U22" s="147">
        <v>16678</v>
      </c>
      <c r="V22" s="147">
        <v>17029</v>
      </c>
      <c r="W22" s="147">
        <v>18834</v>
      </c>
      <c r="X22" s="147">
        <v>17556</v>
      </c>
      <c r="Y22" s="147">
        <v>23989</v>
      </c>
      <c r="Z22" s="147">
        <v>24747</v>
      </c>
      <c r="AA22" s="147">
        <v>27777</v>
      </c>
      <c r="AB22" s="147">
        <v>25252</v>
      </c>
      <c r="AC22" s="148">
        <v>928.13</v>
      </c>
      <c r="AD22" s="149">
        <f>AC22/100*10</f>
        <v>92.813</v>
      </c>
      <c r="AE22" s="149">
        <f>I22/100*10</f>
        <v>146.6</v>
      </c>
    </row>
    <row r="23" ht="21" customHeight="1" spans="1:31">
      <c r="A23" s="128"/>
      <c r="B23" s="152" t="s">
        <v>278</v>
      </c>
      <c r="C23" s="146" t="s">
        <v>14</v>
      </c>
      <c r="D23" s="146" t="s">
        <v>14</v>
      </c>
      <c r="E23" s="146" t="s">
        <v>14</v>
      </c>
      <c r="F23" s="146" t="s">
        <v>14</v>
      </c>
      <c r="G23" s="146" t="s">
        <v>14</v>
      </c>
      <c r="H23" s="146" t="s">
        <v>14</v>
      </c>
      <c r="I23" s="146" t="s">
        <v>14</v>
      </c>
      <c r="J23" s="146" t="s">
        <v>14</v>
      </c>
      <c r="K23" s="146" t="s">
        <v>14</v>
      </c>
      <c r="L23" s="146" t="s">
        <v>14</v>
      </c>
      <c r="M23" s="146" t="s">
        <v>14</v>
      </c>
      <c r="N23" s="146" t="s">
        <v>14</v>
      </c>
      <c r="O23" s="146" t="s">
        <v>14</v>
      </c>
      <c r="P23" s="146" t="s">
        <v>14</v>
      </c>
      <c r="Q23" s="147">
        <v>3230</v>
      </c>
      <c r="R23" s="147">
        <v>3230</v>
      </c>
      <c r="S23" s="147">
        <v>3230</v>
      </c>
      <c r="T23" s="147">
        <v>3230</v>
      </c>
      <c r="U23" s="147">
        <v>4628</v>
      </c>
      <c r="V23" s="147">
        <v>4628</v>
      </c>
      <c r="W23" s="147">
        <v>4628</v>
      </c>
      <c r="X23" s="147">
        <v>4628</v>
      </c>
      <c r="Y23" s="147">
        <v>5178</v>
      </c>
      <c r="Z23" s="147">
        <v>5178</v>
      </c>
      <c r="AA23" s="147">
        <v>5178</v>
      </c>
      <c r="AB23" s="147">
        <v>5178</v>
      </c>
      <c r="AC23" s="148"/>
      <c r="AD23" s="149"/>
      <c r="AE23" s="149"/>
    </row>
    <row r="24" ht="21" customHeight="1" spans="1:31">
      <c r="A24" s="128"/>
      <c r="B24" s="152" t="s">
        <v>279</v>
      </c>
      <c r="C24" s="146" t="s">
        <v>14</v>
      </c>
      <c r="D24" s="146" t="s">
        <v>14</v>
      </c>
      <c r="E24" s="146" t="s">
        <v>14</v>
      </c>
      <c r="F24" s="146" t="s">
        <v>14</v>
      </c>
      <c r="G24" s="146" t="s">
        <v>14</v>
      </c>
      <c r="H24" s="146" t="s">
        <v>14</v>
      </c>
      <c r="I24" s="146" t="s">
        <v>14</v>
      </c>
      <c r="J24" s="146" t="s">
        <v>14</v>
      </c>
      <c r="K24" s="146" t="s">
        <v>14</v>
      </c>
      <c r="L24" s="146" t="s">
        <v>14</v>
      </c>
      <c r="M24" s="146" t="s">
        <v>14</v>
      </c>
      <c r="N24" s="146" t="s">
        <v>14</v>
      </c>
      <c r="O24" s="146" t="s">
        <v>14</v>
      </c>
      <c r="P24" s="146" t="s">
        <v>14</v>
      </c>
      <c r="Q24" s="147">
        <v>5590</v>
      </c>
      <c r="R24" s="147">
        <v>5590</v>
      </c>
      <c r="S24" s="147">
        <v>5590</v>
      </c>
      <c r="T24" s="147">
        <v>5590</v>
      </c>
      <c r="U24" s="147">
        <v>6028</v>
      </c>
      <c r="V24" s="147">
        <v>6028</v>
      </c>
      <c r="W24" s="147">
        <v>6028</v>
      </c>
      <c r="X24" s="147">
        <v>6028</v>
      </c>
      <c r="Y24" s="147">
        <v>6368</v>
      </c>
      <c r="Z24" s="147">
        <v>6368</v>
      </c>
      <c r="AA24" s="147">
        <v>6368</v>
      </c>
      <c r="AB24" s="147">
        <v>6368</v>
      </c>
      <c r="AC24" s="148"/>
      <c r="AD24" s="149"/>
      <c r="AE24" s="149"/>
    </row>
    <row r="25" ht="21" customHeight="1" spans="1:31">
      <c r="A25" s="128">
        <v>5</v>
      </c>
      <c r="B25" s="132" t="s">
        <v>280</v>
      </c>
      <c r="C25" s="146">
        <v>595</v>
      </c>
      <c r="D25" s="146">
        <v>338</v>
      </c>
      <c r="E25" s="146">
        <v>770</v>
      </c>
      <c r="F25" s="128">
        <v>1598</v>
      </c>
      <c r="G25" s="128">
        <v>700</v>
      </c>
      <c r="H25" s="128">
        <v>1575</v>
      </c>
      <c r="I25" s="128">
        <v>3264</v>
      </c>
      <c r="J25" s="128">
        <v>1395</v>
      </c>
      <c r="K25" s="128">
        <v>2450</v>
      </c>
      <c r="L25" s="128">
        <v>5440</v>
      </c>
      <c r="M25" s="128">
        <v>3543</v>
      </c>
      <c r="N25" s="128">
        <v>5600</v>
      </c>
      <c r="O25" s="128">
        <v>13328</v>
      </c>
      <c r="P25" s="146">
        <v>5733</v>
      </c>
      <c r="Q25" s="147">
        <v>1450</v>
      </c>
      <c r="R25" s="147">
        <v>1450</v>
      </c>
      <c r="S25" s="147">
        <v>1450</v>
      </c>
      <c r="T25" s="147">
        <v>1450</v>
      </c>
      <c r="U25" s="147">
        <v>1450</v>
      </c>
      <c r="V25" s="147">
        <v>1450</v>
      </c>
      <c r="W25" s="147">
        <v>1450</v>
      </c>
      <c r="X25" s="147">
        <v>1450</v>
      </c>
      <c r="Y25" s="147">
        <v>1450</v>
      </c>
      <c r="Z25" s="147">
        <v>1450</v>
      </c>
      <c r="AA25" s="147">
        <v>1450</v>
      </c>
      <c r="AB25" s="147">
        <v>1450</v>
      </c>
      <c r="AC25" s="148">
        <v>8629.51</v>
      </c>
      <c r="AD25" s="149">
        <f t="shared" ref="AD25:AD36" si="0">AC25/100*10</f>
        <v>862.951</v>
      </c>
      <c r="AE25" s="149">
        <f t="shared" ref="AE25:AE36" si="1">I25/100*10</f>
        <v>326.4</v>
      </c>
    </row>
    <row r="26" ht="21" customHeight="1" spans="1:31">
      <c r="A26" s="128">
        <v>6</v>
      </c>
      <c r="B26" s="132" t="s">
        <v>281</v>
      </c>
      <c r="C26" s="146">
        <v>520</v>
      </c>
      <c r="D26" s="146">
        <v>270</v>
      </c>
      <c r="E26" s="146">
        <v>370</v>
      </c>
      <c r="F26" s="128">
        <v>369</v>
      </c>
      <c r="G26" s="128">
        <v>540</v>
      </c>
      <c r="H26" s="128">
        <v>740</v>
      </c>
      <c r="I26" s="128">
        <v>736</v>
      </c>
      <c r="J26" s="128">
        <v>1080</v>
      </c>
      <c r="K26" s="128">
        <v>1480</v>
      </c>
      <c r="L26" s="128">
        <v>1492</v>
      </c>
      <c r="M26" s="128">
        <v>2700</v>
      </c>
      <c r="N26" s="128">
        <v>3700</v>
      </c>
      <c r="O26" s="128">
        <v>3730</v>
      </c>
      <c r="P26" s="146">
        <v>6750</v>
      </c>
      <c r="Q26" s="147">
        <v>2328</v>
      </c>
      <c r="R26" s="147">
        <v>2328</v>
      </c>
      <c r="S26" s="147">
        <v>2328</v>
      </c>
      <c r="T26" s="147">
        <v>2328</v>
      </c>
      <c r="U26" s="147">
        <v>3026</v>
      </c>
      <c r="V26" s="147">
        <v>3026</v>
      </c>
      <c r="W26" s="147">
        <v>3026</v>
      </c>
      <c r="X26" s="147">
        <v>3026</v>
      </c>
      <c r="Y26" s="147">
        <v>4313</v>
      </c>
      <c r="Z26" s="147">
        <v>4313</v>
      </c>
      <c r="AA26" s="147">
        <v>4313</v>
      </c>
      <c r="AB26" s="147">
        <v>4313</v>
      </c>
      <c r="AC26" s="148">
        <v>3048.51</v>
      </c>
      <c r="AD26" s="149">
        <f t="shared" si="0"/>
        <v>304.851</v>
      </c>
      <c r="AE26" s="149">
        <f t="shared" si="1"/>
        <v>73.6</v>
      </c>
    </row>
    <row r="27" ht="21" customHeight="1" spans="1:31">
      <c r="A27" s="124" t="s">
        <v>215</v>
      </c>
      <c r="B27" s="150" t="s">
        <v>282</v>
      </c>
      <c r="C27" s="146">
        <v>3575</v>
      </c>
      <c r="D27" s="146">
        <v>2837</v>
      </c>
      <c r="E27" s="146">
        <v>3604</v>
      </c>
      <c r="F27" s="146">
        <v>3593</v>
      </c>
      <c r="G27" s="146">
        <v>4964</v>
      </c>
      <c r="H27" s="146">
        <v>6487</v>
      </c>
      <c r="I27" s="146">
        <v>6192</v>
      </c>
      <c r="J27" s="146">
        <v>8697</v>
      </c>
      <c r="K27" s="146">
        <v>10534</v>
      </c>
      <c r="L27" s="146">
        <v>10226</v>
      </c>
      <c r="M27" s="146">
        <v>18847</v>
      </c>
      <c r="N27" s="146">
        <v>21824</v>
      </c>
      <c r="O27" s="146">
        <v>21290</v>
      </c>
      <c r="P27" s="146">
        <v>35795</v>
      </c>
      <c r="Q27" s="147">
        <v>29567</v>
      </c>
      <c r="R27" s="147">
        <v>30036</v>
      </c>
      <c r="S27" s="147">
        <v>32378</v>
      </c>
      <c r="T27" s="147">
        <v>30959</v>
      </c>
      <c r="U27" s="147">
        <v>42534</v>
      </c>
      <c r="V27" s="147">
        <v>43094</v>
      </c>
      <c r="W27" s="147">
        <v>44284</v>
      </c>
      <c r="X27" s="147">
        <v>43535</v>
      </c>
      <c r="Y27" s="147">
        <v>84484</v>
      </c>
      <c r="Z27" s="147">
        <v>85675</v>
      </c>
      <c r="AA27" s="147">
        <v>87978</v>
      </c>
      <c r="AB27" s="147">
        <v>86596</v>
      </c>
      <c r="AC27" s="148">
        <f>SUM(AC28:AC33)</f>
        <v>6753.09</v>
      </c>
      <c r="AD27" s="149">
        <f t="shared" si="0"/>
        <v>675.309</v>
      </c>
      <c r="AE27" s="149">
        <f t="shared" si="1"/>
        <v>619.2</v>
      </c>
    </row>
    <row r="28" ht="21" customHeight="1" spans="1:31">
      <c r="A28" s="128">
        <v>1</v>
      </c>
      <c r="B28" s="132" t="s">
        <v>283</v>
      </c>
      <c r="C28" s="146">
        <v>950</v>
      </c>
      <c r="D28" s="146">
        <v>1000</v>
      </c>
      <c r="E28" s="146">
        <v>1000</v>
      </c>
      <c r="F28" s="128">
        <v>1000</v>
      </c>
      <c r="G28" s="128">
        <v>2000</v>
      </c>
      <c r="H28" s="128">
        <v>2000</v>
      </c>
      <c r="I28" s="128">
        <v>2000</v>
      </c>
      <c r="J28" s="128">
        <v>4000</v>
      </c>
      <c r="K28" s="128">
        <v>4000</v>
      </c>
      <c r="L28" s="128">
        <v>4000</v>
      </c>
      <c r="M28" s="128">
        <v>10000</v>
      </c>
      <c r="N28" s="128">
        <v>10000</v>
      </c>
      <c r="O28" s="128">
        <v>10000</v>
      </c>
      <c r="P28" s="146">
        <v>20000</v>
      </c>
      <c r="Q28" s="147">
        <v>10800</v>
      </c>
      <c r="R28" s="147">
        <v>10800</v>
      </c>
      <c r="S28" s="147">
        <v>10800</v>
      </c>
      <c r="T28" s="147">
        <v>10800</v>
      </c>
      <c r="U28" s="147">
        <v>18000</v>
      </c>
      <c r="V28" s="147">
        <v>18000</v>
      </c>
      <c r="W28" s="147">
        <v>18000</v>
      </c>
      <c r="X28" s="147">
        <v>18000</v>
      </c>
      <c r="Y28" s="147">
        <v>36000</v>
      </c>
      <c r="Z28" s="147">
        <v>36000</v>
      </c>
      <c r="AA28" s="147">
        <v>36000</v>
      </c>
      <c r="AB28" s="147">
        <v>36000</v>
      </c>
      <c r="AC28" s="148">
        <v>3543.07</v>
      </c>
      <c r="AD28" s="149">
        <f t="shared" si="0"/>
        <v>354.307</v>
      </c>
      <c r="AE28" s="149">
        <f t="shared" si="1"/>
        <v>200</v>
      </c>
    </row>
    <row r="29" ht="21" customHeight="1" spans="1:31">
      <c r="A29" s="128">
        <v>2</v>
      </c>
      <c r="B29" s="132" t="s">
        <v>284</v>
      </c>
      <c r="C29" s="146">
        <v>200</v>
      </c>
      <c r="D29" s="146">
        <v>200</v>
      </c>
      <c r="E29" s="146">
        <v>200</v>
      </c>
      <c r="F29" s="128">
        <v>200</v>
      </c>
      <c r="G29" s="128">
        <v>400</v>
      </c>
      <c r="H29" s="128">
        <v>400</v>
      </c>
      <c r="I29" s="128">
        <v>400</v>
      </c>
      <c r="J29" s="128">
        <v>800</v>
      </c>
      <c r="K29" s="128">
        <v>800</v>
      </c>
      <c r="L29" s="128">
        <v>800</v>
      </c>
      <c r="M29" s="128">
        <v>2000</v>
      </c>
      <c r="N29" s="128">
        <v>2000</v>
      </c>
      <c r="O29" s="128">
        <v>2000</v>
      </c>
      <c r="P29" s="146">
        <v>4000</v>
      </c>
      <c r="Q29" s="147">
        <v>2000</v>
      </c>
      <c r="R29" s="147">
        <v>2000</v>
      </c>
      <c r="S29" s="147">
        <v>2000</v>
      </c>
      <c r="T29" s="147">
        <v>2000</v>
      </c>
      <c r="U29" s="147">
        <v>3500</v>
      </c>
      <c r="V29" s="147">
        <v>3500</v>
      </c>
      <c r="W29" s="147">
        <v>3500</v>
      </c>
      <c r="X29" s="147">
        <v>3500</v>
      </c>
      <c r="Y29" s="147">
        <v>4500</v>
      </c>
      <c r="Z29" s="147">
        <v>4500</v>
      </c>
      <c r="AA29" s="147">
        <v>4500</v>
      </c>
      <c r="AB29" s="147">
        <v>4500</v>
      </c>
      <c r="AC29" s="151">
        <v>500</v>
      </c>
      <c r="AD29" s="149">
        <f t="shared" si="0"/>
        <v>50</v>
      </c>
      <c r="AE29" s="149">
        <f t="shared" si="1"/>
        <v>40</v>
      </c>
    </row>
    <row r="30" ht="21" customHeight="1" spans="1:31">
      <c r="A30" s="128">
        <v>3</v>
      </c>
      <c r="B30" s="132" t="s">
        <v>285</v>
      </c>
      <c r="C30" s="146">
        <v>1336</v>
      </c>
      <c r="D30" s="146">
        <v>811</v>
      </c>
      <c r="E30" s="146">
        <v>1259</v>
      </c>
      <c r="F30" s="128">
        <v>1288</v>
      </c>
      <c r="G30" s="128">
        <v>1238</v>
      </c>
      <c r="H30" s="128">
        <v>2115</v>
      </c>
      <c r="I30" s="128">
        <v>2007</v>
      </c>
      <c r="J30" s="128">
        <v>1807</v>
      </c>
      <c r="K30" s="128">
        <v>2866</v>
      </c>
      <c r="L30" s="128">
        <v>2780</v>
      </c>
      <c r="M30" s="128">
        <v>2945</v>
      </c>
      <c r="N30" s="128">
        <v>4643</v>
      </c>
      <c r="O30" s="128">
        <v>4504</v>
      </c>
      <c r="P30" s="146">
        <v>4859</v>
      </c>
      <c r="Q30" s="147">
        <v>10040</v>
      </c>
      <c r="R30" s="147">
        <v>10357</v>
      </c>
      <c r="S30" s="147">
        <v>11181</v>
      </c>
      <c r="T30" s="147">
        <v>10569</v>
      </c>
      <c r="U30" s="147">
        <v>11391</v>
      </c>
      <c r="V30" s="147">
        <v>11751</v>
      </c>
      <c r="W30" s="147">
        <v>12461</v>
      </c>
      <c r="X30" s="147">
        <v>11990</v>
      </c>
      <c r="Y30" s="147">
        <v>25527</v>
      </c>
      <c r="Z30" s="147">
        <v>26334</v>
      </c>
      <c r="AA30" s="147">
        <v>27677</v>
      </c>
      <c r="AB30" s="147">
        <v>26871</v>
      </c>
      <c r="AC30" s="148">
        <v>1883.1</v>
      </c>
      <c r="AD30" s="149">
        <f t="shared" si="0"/>
        <v>188.31</v>
      </c>
      <c r="AE30" s="149">
        <f t="shared" si="1"/>
        <v>200.7</v>
      </c>
    </row>
    <row r="31" ht="21" customHeight="1" spans="1:31">
      <c r="A31" s="128">
        <v>4</v>
      </c>
      <c r="B31" s="132" t="s">
        <v>286</v>
      </c>
      <c r="C31" s="146">
        <v>311</v>
      </c>
      <c r="D31" s="146">
        <v>237</v>
      </c>
      <c r="E31" s="146">
        <v>307</v>
      </c>
      <c r="F31" s="128">
        <v>266</v>
      </c>
      <c r="G31" s="128">
        <v>362</v>
      </c>
      <c r="H31" s="128">
        <v>515</v>
      </c>
      <c r="I31" s="128">
        <v>414</v>
      </c>
      <c r="J31" s="128">
        <v>528</v>
      </c>
      <c r="K31" s="128">
        <v>698</v>
      </c>
      <c r="L31" s="128">
        <v>573</v>
      </c>
      <c r="M31" s="128">
        <v>861</v>
      </c>
      <c r="N31" s="128">
        <v>1131</v>
      </c>
      <c r="O31" s="128">
        <v>929</v>
      </c>
      <c r="P31" s="146">
        <v>1420</v>
      </c>
      <c r="Q31" s="147">
        <v>552</v>
      </c>
      <c r="R31" s="147">
        <v>564</v>
      </c>
      <c r="S31" s="147">
        <v>608</v>
      </c>
      <c r="T31" s="147">
        <v>575</v>
      </c>
      <c r="U31" s="147">
        <v>905</v>
      </c>
      <c r="V31" s="147">
        <v>924</v>
      </c>
      <c r="W31" s="147">
        <v>835</v>
      </c>
      <c r="X31" s="147">
        <v>943</v>
      </c>
      <c r="Y31" s="147">
        <v>1466</v>
      </c>
      <c r="Z31" s="147">
        <v>1496</v>
      </c>
      <c r="AA31" s="147">
        <v>1573</v>
      </c>
      <c r="AB31" s="147">
        <v>1527</v>
      </c>
      <c r="AC31" s="148">
        <v>440.37</v>
      </c>
      <c r="AD31" s="149">
        <f t="shared" si="0"/>
        <v>44.037</v>
      </c>
      <c r="AE31" s="149">
        <f t="shared" si="1"/>
        <v>41.4</v>
      </c>
    </row>
    <row r="32" ht="21" customHeight="1" spans="1:31">
      <c r="A32" s="128">
        <v>5</v>
      </c>
      <c r="B32" s="132" t="s">
        <v>287</v>
      </c>
      <c r="C32" s="146">
        <v>727</v>
      </c>
      <c r="D32" s="146">
        <v>446</v>
      </c>
      <c r="E32" s="146">
        <v>686</v>
      </c>
      <c r="F32" s="128">
        <v>697</v>
      </c>
      <c r="G32" s="128">
        <v>680</v>
      </c>
      <c r="H32" s="128">
        <v>1152</v>
      </c>
      <c r="I32" s="128">
        <v>1086</v>
      </c>
      <c r="J32" s="128">
        <v>993</v>
      </c>
      <c r="K32" s="128">
        <v>1561</v>
      </c>
      <c r="L32" s="128">
        <v>1505</v>
      </c>
      <c r="M32" s="128">
        <v>1618</v>
      </c>
      <c r="N32" s="128">
        <v>2529</v>
      </c>
      <c r="O32" s="128">
        <v>2437</v>
      </c>
      <c r="P32" s="146">
        <v>2670</v>
      </c>
      <c r="Q32" s="147">
        <v>6160</v>
      </c>
      <c r="R32" s="147">
        <v>6300</v>
      </c>
      <c r="S32" s="147">
        <v>7774</v>
      </c>
      <c r="T32" s="147">
        <v>7000</v>
      </c>
      <c r="U32" s="147">
        <v>8718</v>
      </c>
      <c r="V32" s="147">
        <v>8899</v>
      </c>
      <c r="W32" s="147">
        <v>9468</v>
      </c>
      <c r="X32" s="147">
        <v>9081</v>
      </c>
      <c r="Y32" s="147">
        <v>16966</v>
      </c>
      <c r="Z32" s="147">
        <v>17320</v>
      </c>
      <c r="AA32" s="147">
        <v>18203</v>
      </c>
      <c r="AB32" s="147">
        <v>17673</v>
      </c>
      <c r="AC32" s="151">
        <v>300</v>
      </c>
      <c r="AD32" s="149">
        <f t="shared" si="0"/>
        <v>30</v>
      </c>
      <c r="AE32" s="149">
        <f t="shared" si="1"/>
        <v>108.6</v>
      </c>
    </row>
    <row r="33" ht="21" customHeight="1" spans="1:31">
      <c r="A33" s="128">
        <v>6</v>
      </c>
      <c r="B33" s="132" t="s">
        <v>288</v>
      </c>
      <c r="C33" s="146">
        <v>52</v>
      </c>
      <c r="D33" s="146">
        <v>142</v>
      </c>
      <c r="E33" s="146">
        <v>152</v>
      </c>
      <c r="F33" s="128">
        <v>142</v>
      </c>
      <c r="G33" s="128">
        <v>285</v>
      </c>
      <c r="H33" s="128">
        <v>304</v>
      </c>
      <c r="I33" s="128">
        <v>284</v>
      </c>
      <c r="J33" s="128">
        <v>569</v>
      </c>
      <c r="K33" s="128">
        <v>608</v>
      </c>
      <c r="L33" s="128">
        <v>568</v>
      </c>
      <c r="M33" s="128">
        <v>1423</v>
      </c>
      <c r="N33" s="128">
        <v>1520</v>
      </c>
      <c r="O33" s="128">
        <v>1420</v>
      </c>
      <c r="P33" s="146">
        <v>2846</v>
      </c>
      <c r="Q33" s="147">
        <v>15</v>
      </c>
      <c r="R33" s="147">
        <v>15</v>
      </c>
      <c r="S33" s="147">
        <v>15</v>
      </c>
      <c r="T33" s="147">
        <v>15</v>
      </c>
      <c r="U33" s="147">
        <v>20</v>
      </c>
      <c r="V33" s="147">
        <v>20</v>
      </c>
      <c r="W33" s="147">
        <v>20</v>
      </c>
      <c r="X33" s="147">
        <v>20</v>
      </c>
      <c r="Y33" s="147">
        <v>25</v>
      </c>
      <c r="Z33" s="147">
        <v>25</v>
      </c>
      <c r="AA33" s="147">
        <v>25</v>
      </c>
      <c r="AB33" s="147">
        <v>25</v>
      </c>
      <c r="AC33" s="148">
        <v>86.55</v>
      </c>
      <c r="AD33" s="149">
        <f t="shared" si="0"/>
        <v>8.655</v>
      </c>
      <c r="AE33" s="149">
        <f t="shared" si="1"/>
        <v>28.4</v>
      </c>
    </row>
    <row r="34" ht="21" customHeight="1" spans="1:31">
      <c r="A34" s="128"/>
      <c r="B34" s="132" t="s">
        <v>289</v>
      </c>
      <c r="C34" s="146">
        <v>24617</v>
      </c>
      <c r="D34" s="146">
        <v>21941</v>
      </c>
      <c r="E34" s="146">
        <v>24378</v>
      </c>
      <c r="F34" s="146">
        <v>26280</v>
      </c>
      <c r="G34" s="146">
        <v>42108</v>
      </c>
      <c r="H34" s="146">
        <v>46930</v>
      </c>
      <c r="I34" s="146">
        <v>50468</v>
      </c>
      <c r="J34" s="146">
        <v>81493</v>
      </c>
      <c r="K34" s="146">
        <v>87921</v>
      </c>
      <c r="L34" s="146">
        <v>95280</v>
      </c>
      <c r="M34" s="146">
        <v>198328</v>
      </c>
      <c r="N34" s="146">
        <v>210317</v>
      </c>
      <c r="O34" s="146">
        <v>230781</v>
      </c>
      <c r="P34" s="146">
        <v>392722</v>
      </c>
      <c r="Q34" s="147">
        <v>316977</v>
      </c>
      <c r="R34" s="147">
        <v>319148</v>
      </c>
      <c r="S34" s="147">
        <v>350336</v>
      </c>
      <c r="T34" s="147">
        <v>331803</v>
      </c>
      <c r="U34" s="147">
        <v>480354</v>
      </c>
      <c r="V34" s="147">
        <v>483388</v>
      </c>
      <c r="W34" s="147">
        <v>531793</v>
      </c>
      <c r="X34" s="147">
        <v>503498</v>
      </c>
      <c r="Y34" s="147">
        <v>901445</v>
      </c>
      <c r="Z34" s="147">
        <v>906867</v>
      </c>
      <c r="AA34" s="147">
        <v>996830</v>
      </c>
      <c r="AB34" s="147">
        <v>943413</v>
      </c>
      <c r="AC34" s="148">
        <f>AC5+AC12+AC19+AC27</f>
        <v>54939.78</v>
      </c>
      <c r="AD34" s="149">
        <f t="shared" si="0"/>
        <v>5493.978</v>
      </c>
      <c r="AE34" s="149">
        <f t="shared" si="1"/>
        <v>5046.8</v>
      </c>
    </row>
    <row r="35" ht="21" customHeight="1" spans="1:31">
      <c r="A35" s="124" t="s">
        <v>219</v>
      </c>
      <c r="B35" s="150" t="s">
        <v>290</v>
      </c>
      <c r="C35" s="146">
        <v>369</v>
      </c>
      <c r="D35" s="146">
        <v>329</v>
      </c>
      <c r="E35" s="146">
        <v>366</v>
      </c>
      <c r="F35" s="146">
        <v>394</v>
      </c>
      <c r="G35" s="146">
        <v>632</v>
      </c>
      <c r="H35" s="146">
        <v>704</v>
      </c>
      <c r="I35" s="146">
        <v>757</v>
      </c>
      <c r="J35" s="146">
        <v>1222</v>
      </c>
      <c r="K35" s="146">
        <v>1319</v>
      </c>
      <c r="L35" s="146">
        <v>1429</v>
      </c>
      <c r="M35" s="146">
        <v>2975</v>
      </c>
      <c r="N35" s="146">
        <v>3155</v>
      </c>
      <c r="O35" s="146">
        <v>3462</v>
      </c>
      <c r="P35" s="146">
        <v>5891</v>
      </c>
      <c r="Q35" s="147">
        <v>6340</v>
      </c>
      <c r="R35" s="147">
        <v>6383</v>
      </c>
      <c r="S35" s="147">
        <v>7007</v>
      </c>
      <c r="T35" s="147">
        <v>6636</v>
      </c>
      <c r="U35" s="147">
        <v>9607</v>
      </c>
      <c r="V35" s="147">
        <v>9668</v>
      </c>
      <c r="W35" s="147">
        <v>10636</v>
      </c>
      <c r="X35" s="147">
        <v>10070</v>
      </c>
      <c r="Y35" s="147">
        <v>18029</v>
      </c>
      <c r="Z35" s="147">
        <v>18137</v>
      </c>
      <c r="AA35" s="147">
        <v>19937</v>
      </c>
      <c r="AB35" s="147">
        <v>18868</v>
      </c>
      <c r="AC35" s="148">
        <v>824.1</v>
      </c>
      <c r="AD35" s="149">
        <f t="shared" si="0"/>
        <v>82.41</v>
      </c>
      <c r="AE35" s="149">
        <f t="shared" si="1"/>
        <v>75.7</v>
      </c>
    </row>
    <row r="36" ht="21" customHeight="1" spans="1:31">
      <c r="A36" s="128"/>
      <c r="B36" s="132" t="s">
        <v>291</v>
      </c>
      <c r="C36" s="146">
        <v>24987</v>
      </c>
      <c r="D36" s="146">
        <v>22270</v>
      </c>
      <c r="E36" s="146">
        <v>24744</v>
      </c>
      <c r="F36" s="146">
        <v>26674</v>
      </c>
      <c r="G36" s="146">
        <v>42739</v>
      </c>
      <c r="H36" s="146">
        <v>47634</v>
      </c>
      <c r="I36" s="146">
        <v>51225</v>
      </c>
      <c r="J36" s="146">
        <v>82715</v>
      </c>
      <c r="K36" s="146">
        <v>89240</v>
      </c>
      <c r="L36" s="146">
        <v>96709</v>
      </c>
      <c r="M36" s="146">
        <v>201303</v>
      </c>
      <c r="N36" s="146">
        <v>213471</v>
      </c>
      <c r="O36" s="146">
        <v>234243</v>
      </c>
      <c r="P36" s="146">
        <v>398613</v>
      </c>
      <c r="Q36" s="147">
        <v>323316</v>
      </c>
      <c r="R36" s="147">
        <v>325531</v>
      </c>
      <c r="S36" s="147">
        <v>357342</v>
      </c>
      <c r="T36" s="147">
        <v>338439</v>
      </c>
      <c r="U36" s="147">
        <v>489961</v>
      </c>
      <c r="V36" s="147">
        <v>493056</v>
      </c>
      <c r="W36" s="147">
        <v>542429</v>
      </c>
      <c r="X36" s="147">
        <v>513568</v>
      </c>
      <c r="Y36" s="147">
        <v>919474</v>
      </c>
      <c r="Z36" s="147">
        <v>925005</v>
      </c>
      <c r="AA36" s="147">
        <v>1016767</v>
      </c>
      <c r="AB36" s="147">
        <v>962281</v>
      </c>
      <c r="AC36" s="148">
        <f>AC34+AC35</f>
        <v>55763.88</v>
      </c>
      <c r="AD36" s="149">
        <f t="shared" si="0"/>
        <v>5576.388</v>
      </c>
      <c r="AE36" s="149">
        <f t="shared" si="1"/>
        <v>5122.5</v>
      </c>
    </row>
    <row r="37" ht="21" customHeight="1" spans="1:31">
      <c r="A37" s="124" t="s">
        <v>231</v>
      </c>
      <c r="B37" s="150" t="s">
        <v>292</v>
      </c>
      <c r="C37" s="146">
        <v>395</v>
      </c>
      <c r="D37" s="146">
        <v>350</v>
      </c>
      <c r="E37" s="146">
        <v>389</v>
      </c>
      <c r="F37" s="146">
        <v>420</v>
      </c>
      <c r="G37" s="146">
        <v>673</v>
      </c>
      <c r="H37" s="146">
        <v>750</v>
      </c>
      <c r="I37" s="146">
        <v>806</v>
      </c>
      <c r="J37" s="146">
        <v>1302</v>
      </c>
      <c r="K37" s="146">
        <v>1404</v>
      </c>
      <c r="L37" s="146">
        <v>1522</v>
      </c>
      <c r="M37" s="146">
        <v>4743</v>
      </c>
      <c r="N37" s="146">
        <v>5029</v>
      </c>
      <c r="O37" s="146">
        <v>5519</v>
      </c>
      <c r="P37" s="146">
        <v>9391</v>
      </c>
      <c r="Q37" s="147">
        <v>5983</v>
      </c>
      <c r="R37" s="147">
        <v>6024</v>
      </c>
      <c r="S37" s="147">
        <v>6613</v>
      </c>
      <c r="T37" s="147">
        <v>6263</v>
      </c>
      <c r="U37" s="147">
        <v>9067</v>
      </c>
      <c r="V37" s="147">
        <v>9124</v>
      </c>
      <c r="W37" s="147">
        <v>10038</v>
      </c>
      <c r="X37" s="147">
        <v>9504</v>
      </c>
      <c r="Y37" s="147">
        <v>20418</v>
      </c>
      <c r="Z37" s="147">
        <v>20541</v>
      </c>
      <c r="AA37" s="147">
        <v>22578</v>
      </c>
      <c r="AB37" s="147">
        <v>21368</v>
      </c>
      <c r="AC37" s="148"/>
      <c r="AD37" s="149"/>
      <c r="AE37" s="149"/>
    </row>
    <row r="38" ht="21" customHeight="1" spans="1:31">
      <c r="A38" s="124" t="s">
        <v>243</v>
      </c>
      <c r="B38" s="150" t="s">
        <v>293</v>
      </c>
      <c r="C38" s="146">
        <v>25381</v>
      </c>
      <c r="D38" s="146">
        <v>22620</v>
      </c>
      <c r="E38" s="146">
        <v>25133</v>
      </c>
      <c r="F38" s="146">
        <v>27095</v>
      </c>
      <c r="G38" s="146">
        <v>43412</v>
      </c>
      <c r="H38" s="146">
        <v>48383</v>
      </c>
      <c r="I38" s="146">
        <v>52031</v>
      </c>
      <c r="J38" s="146">
        <v>84017</v>
      </c>
      <c r="K38" s="146">
        <v>90644</v>
      </c>
      <c r="L38" s="146">
        <v>98231</v>
      </c>
      <c r="M38" s="146">
        <v>206046</v>
      </c>
      <c r="N38" s="146">
        <v>218501</v>
      </c>
      <c r="O38" s="146">
        <v>239762</v>
      </c>
      <c r="P38" s="146">
        <v>408004</v>
      </c>
      <c r="Q38" s="147">
        <v>329299</v>
      </c>
      <c r="R38" s="147">
        <v>331555</v>
      </c>
      <c r="S38" s="147">
        <v>363955</v>
      </c>
      <c r="T38" s="147">
        <v>344701</v>
      </c>
      <c r="U38" s="147">
        <v>499028</v>
      </c>
      <c r="V38" s="147">
        <v>502180</v>
      </c>
      <c r="W38" s="147">
        <v>552467</v>
      </c>
      <c r="X38" s="147">
        <v>523072</v>
      </c>
      <c r="Y38" s="147">
        <v>939892</v>
      </c>
      <c r="Z38" s="147">
        <v>945545</v>
      </c>
      <c r="AA38" s="147">
        <v>1039345</v>
      </c>
      <c r="AB38" s="147">
        <v>983649</v>
      </c>
      <c r="AC38" s="148"/>
      <c r="AD38" s="149"/>
      <c r="AE38" s="149"/>
    </row>
    <row r="39" ht="21" customHeight="1" spans="1:31">
      <c r="A39" s="124"/>
      <c r="B39" s="150" t="s">
        <v>294</v>
      </c>
      <c r="C39" s="146">
        <v>4997</v>
      </c>
      <c r="D39" s="146">
        <v>4454</v>
      </c>
      <c r="E39" s="146">
        <v>4949</v>
      </c>
      <c r="F39" s="146">
        <v>5335</v>
      </c>
      <c r="G39" s="146">
        <v>4274</v>
      </c>
      <c r="H39" s="146">
        <v>4763</v>
      </c>
      <c r="I39" s="146">
        <v>5123</v>
      </c>
      <c r="J39" s="146">
        <v>4136</v>
      </c>
      <c r="K39" s="146">
        <v>4462</v>
      </c>
      <c r="L39" s="146">
        <v>4835</v>
      </c>
      <c r="M39" s="146">
        <v>4026</v>
      </c>
      <c r="N39" s="146">
        <v>4269</v>
      </c>
      <c r="O39" s="146">
        <v>4685</v>
      </c>
      <c r="P39" s="146">
        <v>3986</v>
      </c>
      <c r="Q39" s="147">
        <v>10777</v>
      </c>
      <c r="R39" s="147">
        <v>10851</v>
      </c>
      <c r="S39" s="147">
        <v>11911</v>
      </c>
      <c r="T39" s="147">
        <v>11281</v>
      </c>
      <c r="U39" s="147">
        <v>9799</v>
      </c>
      <c r="V39" s="147">
        <v>9861</v>
      </c>
      <c r="W39" s="147">
        <v>10849</v>
      </c>
      <c r="X39" s="147">
        <v>10271</v>
      </c>
      <c r="Y39" s="147">
        <v>9195</v>
      </c>
      <c r="Z39" s="147">
        <v>9250</v>
      </c>
      <c r="AA39" s="147">
        <v>10168</v>
      </c>
      <c r="AB39" s="147">
        <v>9623</v>
      </c>
      <c r="AC39" s="148"/>
      <c r="AD39" s="149"/>
      <c r="AE39" s="149"/>
    </row>
    <row r="40" ht="21" customHeight="1" spans="1:31">
      <c r="A40" s="153"/>
      <c r="B40" s="154" t="s">
        <v>295</v>
      </c>
      <c r="C40" s="155">
        <v>5076</v>
      </c>
      <c r="D40" s="155">
        <v>4524</v>
      </c>
      <c r="E40" s="155">
        <v>5027</v>
      </c>
      <c r="F40" s="155">
        <v>5419</v>
      </c>
      <c r="G40" s="155">
        <v>4341</v>
      </c>
      <c r="H40" s="155">
        <v>4838</v>
      </c>
      <c r="I40" s="155">
        <v>5203</v>
      </c>
      <c r="J40" s="155">
        <v>4201</v>
      </c>
      <c r="K40" s="155">
        <v>4532</v>
      </c>
      <c r="L40" s="155">
        <v>4912</v>
      </c>
      <c r="M40" s="155">
        <v>4121</v>
      </c>
      <c r="N40" s="155">
        <v>4370</v>
      </c>
      <c r="O40" s="155">
        <v>4795</v>
      </c>
      <c r="P40" s="155">
        <v>4080</v>
      </c>
      <c r="Q40" s="156">
        <v>10977</v>
      </c>
      <c r="R40" s="156">
        <v>11052</v>
      </c>
      <c r="S40" s="156">
        <v>12132</v>
      </c>
      <c r="T40" s="156">
        <v>11490</v>
      </c>
      <c r="U40" s="156">
        <v>9981</v>
      </c>
      <c r="V40" s="156">
        <v>10044</v>
      </c>
      <c r="W40" s="156">
        <v>11049</v>
      </c>
      <c r="X40" s="156">
        <v>10461</v>
      </c>
      <c r="Y40" s="156">
        <v>9399</v>
      </c>
      <c r="Z40" s="156">
        <v>9455</v>
      </c>
      <c r="AA40" s="156">
        <v>10393</v>
      </c>
      <c r="AB40" s="156">
        <v>9836</v>
      </c>
      <c r="AC40" s="148"/>
      <c r="AD40" s="149"/>
      <c r="AE40" s="149"/>
    </row>
    <row r="41" ht="17.25" customHeight="1" spans="1:31">
      <c r="A41" s="157"/>
      <c r="B41" s="132" t="s">
        <v>296</v>
      </c>
      <c r="C41" s="146">
        <v>2976</v>
      </c>
      <c r="D41" s="128">
        <v>2424</v>
      </c>
      <c r="E41" s="128">
        <v>2927</v>
      </c>
      <c r="F41" s="128">
        <v>3319</v>
      </c>
      <c r="G41" s="128">
        <v>2241</v>
      </c>
      <c r="H41" s="128">
        <v>2738</v>
      </c>
      <c r="I41" s="128">
        <v>3103</v>
      </c>
      <c r="J41" s="128">
        <v>2101</v>
      </c>
      <c r="K41" s="128">
        <v>2432</v>
      </c>
      <c r="L41" s="128">
        <v>2812</v>
      </c>
      <c r="M41" s="128">
        <v>2021</v>
      </c>
      <c r="N41" s="128">
        <v>2270</v>
      </c>
      <c r="O41" s="128">
        <v>2695</v>
      </c>
      <c r="P41" s="146">
        <v>1980</v>
      </c>
      <c r="Q41" s="147">
        <v>7477</v>
      </c>
      <c r="R41" s="147">
        <v>7552</v>
      </c>
      <c r="S41" s="147">
        <v>8632</v>
      </c>
      <c r="T41" s="147">
        <v>7990</v>
      </c>
      <c r="U41" s="147">
        <v>6481</v>
      </c>
      <c r="V41" s="147">
        <v>6544</v>
      </c>
      <c r="W41" s="147">
        <v>7549</v>
      </c>
      <c r="X41" s="147">
        <v>6961</v>
      </c>
      <c r="Y41" s="147">
        <v>5899</v>
      </c>
      <c r="Z41" s="147">
        <v>5955</v>
      </c>
      <c r="AA41" s="147">
        <v>6893</v>
      </c>
      <c r="AB41" s="147">
        <v>6336</v>
      </c>
      <c r="AC41" s="148"/>
      <c r="AD41" s="149"/>
      <c r="AE41" s="149"/>
    </row>
  </sheetData>
  <mergeCells count="14">
    <mergeCell ref="A1:B1"/>
    <mergeCell ref="C1:P1"/>
    <mergeCell ref="Q1:AB1"/>
    <mergeCell ref="A2:B2"/>
    <mergeCell ref="D2:F2"/>
    <mergeCell ref="G2:I2"/>
    <mergeCell ref="J2:L2"/>
    <mergeCell ref="M2:O2"/>
    <mergeCell ref="Q2:T2"/>
    <mergeCell ref="U2:X2"/>
    <mergeCell ref="Y2:AB2"/>
    <mergeCell ref="A3:B3"/>
    <mergeCell ref="AC1:AC3"/>
    <mergeCell ref="AD1:AE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D2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3333333333333" defaultRowHeight="13.5" outlineLevelCol="3"/>
  <cols>
    <col min="1" max="1" width="5.66666666666667" style="2" customWidth="1"/>
    <col min="2" max="2" width="74.5" style="91" customWidth="1"/>
    <col min="3" max="3" width="8.83333333333333" style="4" customWidth="1"/>
    <col min="4" max="4" width="12.1666666666667" style="123" customWidth="1"/>
  </cols>
  <sheetData>
    <row r="1" ht="21" customHeight="1" spans="1:4">
      <c r="A1" s="124" t="s">
        <v>297</v>
      </c>
      <c r="B1" s="125" t="s">
        <v>298</v>
      </c>
      <c r="C1" s="125" t="s">
        <v>2</v>
      </c>
      <c r="D1" s="124" t="s">
        <v>299</v>
      </c>
    </row>
    <row r="2" ht="21" customHeight="1" spans="1:4">
      <c r="A2" s="124" t="s">
        <v>196</v>
      </c>
      <c r="B2" s="126" t="s">
        <v>300</v>
      </c>
      <c r="C2" s="125"/>
      <c r="D2" s="127"/>
    </row>
    <row r="3" ht="21" customHeight="1" spans="1:4">
      <c r="A3" s="128">
        <v>1</v>
      </c>
      <c r="B3" s="129" t="s">
        <v>301</v>
      </c>
      <c r="C3" s="130" t="s">
        <v>302</v>
      </c>
      <c r="D3" s="131">
        <v>3800</v>
      </c>
    </row>
    <row r="4" ht="21" customHeight="1" spans="1:4">
      <c r="A4" s="128">
        <v>2</v>
      </c>
      <c r="B4" s="129" t="s">
        <v>303</v>
      </c>
      <c r="C4" s="130" t="s">
        <v>302</v>
      </c>
      <c r="D4" s="131">
        <v>430</v>
      </c>
    </row>
    <row r="5" ht="21" customHeight="1" spans="1:4">
      <c r="A5" s="124" t="s">
        <v>208</v>
      </c>
      <c r="B5" s="126" t="s">
        <v>188</v>
      </c>
      <c r="C5" s="125"/>
      <c r="D5" s="127"/>
    </row>
    <row r="6" ht="21" customHeight="1" spans="1:4">
      <c r="A6" s="128">
        <v>1</v>
      </c>
      <c r="B6" s="129" t="s">
        <v>304</v>
      </c>
      <c r="C6" s="130" t="s">
        <v>305</v>
      </c>
      <c r="D6" s="131">
        <v>100</v>
      </c>
    </row>
    <row r="7" ht="21" customHeight="1" spans="1:4">
      <c r="A7" s="128">
        <v>2</v>
      </c>
      <c r="B7" s="129" t="s">
        <v>306</v>
      </c>
      <c r="C7" s="130" t="s">
        <v>55</v>
      </c>
      <c r="D7" s="131">
        <v>200</v>
      </c>
    </row>
    <row r="8" ht="21" customHeight="1" spans="1:4">
      <c r="A8" s="128">
        <v>3</v>
      </c>
      <c r="B8" s="129" t="s">
        <v>307</v>
      </c>
      <c r="C8" s="130" t="s">
        <v>55</v>
      </c>
      <c r="D8" s="131">
        <v>350</v>
      </c>
    </row>
    <row r="9" ht="21" customHeight="1" spans="1:4">
      <c r="A9" s="128">
        <v>4</v>
      </c>
      <c r="B9" s="129" t="s">
        <v>308</v>
      </c>
      <c r="C9" s="130" t="s">
        <v>55</v>
      </c>
      <c r="D9" s="131">
        <v>580</v>
      </c>
    </row>
    <row r="10" ht="21" customHeight="1" spans="1:4">
      <c r="A10" s="128">
        <v>5</v>
      </c>
      <c r="B10" s="129" t="s">
        <v>309</v>
      </c>
      <c r="C10" s="130" t="s">
        <v>55</v>
      </c>
      <c r="D10" s="131">
        <v>750</v>
      </c>
    </row>
    <row r="11" ht="21" customHeight="1" spans="1:4">
      <c r="A11" s="128">
        <v>6</v>
      </c>
      <c r="B11" s="129" t="s">
        <v>310</v>
      </c>
      <c r="C11" s="130" t="s">
        <v>55</v>
      </c>
      <c r="D11" s="131">
        <v>18</v>
      </c>
    </row>
    <row r="12" ht="21" customHeight="1" spans="1:4">
      <c r="A12" s="128">
        <v>7</v>
      </c>
      <c r="B12" s="129" t="s">
        <v>311</v>
      </c>
      <c r="C12" s="130" t="s">
        <v>312</v>
      </c>
      <c r="D12" s="131">
        <v>50</v>
      </c>
    </row>
    <row r="13" ht="21" customHeight="1" spans="1:4">
      <c r="A13" s="128" t="s">
        <v>211</v>
      </c>
      <c r="B13" s="126" t="s">
        <v>189</v>
      </c>
      <c r="C13" s="130"/>
      <c r="D13" s="131"/>
    </row>
    <row r="14" ht="21" customHeight="1" spans="1:4">
      <c r="A14" s="128">
        <v>1</v>
      </c>
      <c r="B14" s="129" t="s">
        <v>313</v>
      </c>
      <c r="C14" s="130" t="s">
        <v>147</v>
      </c>
      <c r="D14" s="131">
        <v>110</v>
      </c>
    </row>
    <row r="15" ht="21" customHeight="1" spans="1:4">
      <c r="A15" s="128">
        <v>2</v>
      </c>
      <c r="B15" s="129" t="s">
        <v>314</v>
      </c>
      <c r="C15" s="130" t="s">
        <v>147</v>
      </c>
      <c r="D15" s="131">
        <v>135</v>
      </c>
    </row>
    <row r="16" ht="21" customHeight="1" spans="1:4">
      <c r="A16" s="128">
        <v>3</v>
      </c>
      <c r="B16" s="129" t="s">
        <v>315</v>
      </c>
      <c r="C16" s="130" t="s">
        <v>147</v>
      </c>
      <c r="D16" s="131">
        <v>165</v>
      </c>
    </row>
    <row r="17" ht="21" customHeight="1" spans="1:4">
      <c r="A17" s="128">
        <v>4</v>
      </c>
      <c r="B17" s="129" t="s">
        <v>316</v>
      </c>
      <c r="C17" s="130" t="s">
        <v>147</v>
      </c>
      <c r="D17" s="131">
        <v>245</v>
      </c>
    </row>
    <row r="18" ht="21" customHeight="1" spans="1:4">
      <c r="A18" s="128">
        <v>5</v>
      </c>
      <c r="B18" s="129" t="s">
        <v>317</v>
      </c>
      <c r="C18" s="130" t="s">
        <v>147</v>
      </c>
      <c r="D18" s="131">
        <v>285</v>
      </c>
    </row>
    <row r="19" ht="21" customHeight="1" spans="1:4">
      <c r="A19" s="128">
        <v>6</v>
      </c>
      <c r="B19" s="132" t="s">
        <v>318</v>
      </c>
      <c r="C19" s="130" t="s">
        <v>147</v>
      </c>
      <c r="D19" s="131">
        <v>480</v>
      </c>
    </row>
    <row r="20" ht="21" customHeight="1" spans="1:4">
      <c r="A20" s="128">
        <v>7</v>
      </c>
      <c r="B20" s="132" t="s">
        <v>319</v>
      </c>
      <c r="C20" s="130" t="s">
        <v>147</v>
      </c>
      <c r="D20" s="131">
        <v>580</v>
      </c>
    </row>
    <row r="21" ht="21" customHeight="1" spans="1:4">
      <c r="A21" s="128">
        <v>8</v>
      </c>
      <c r="B21" s="132" t="s">
        <v>320</v>
      </c>
      <c r="C21" s="130" t="s">
        <v>147</v>
      </c>
      <c r="D21" s="131">
        <v>1250</v>
      </c>
    </row>
    <row r="22" ht="21" customHeight="1" spans="1:4">
      <c r="A22" s="128">
        <v>9</v>
      </c>
      <c r="B22" s="129" t="s">
        <v>321</v>
      </c>
      <c r="C22" s="130" t="s">
        <v>55</v>
      </c>
      <c r="D22" s="131">
        <v>970</v>
      </c>
    </row>
    <row r="23" ht="21" customHeight="1" spans="1:4">
      <c r="A23" s="128">
        <v>10</v>
      </c>
      <c r="B23" s="129" t="s">
        <v>322</v>
      </c>
      <c r="C23" s="130" t="s">
        <v>55</v>
      </c>
      <c r="D23" s="131">
        <v>1450</v>
      </c>
    </row>
    <row r="24" ht="21" customHeight="1" spans="1:4">
      <c r="A24" s="128">
        <v>11</v>
      </c>
      <c r="B24" s="129" t="s">
        <v>323</v>
      </c>
      <c r="C24" s="130" t="s">
        <v>55</v>
      </c>
      <c r="D24" s="131">
        <v>3000</v>
      </c>
    </row>
    <row r="25" ht="21" customHeight="1" spans="1:4">
      <c r="A25" s="128"/>
      <c r="B25" s="129"/>
      <c r="C25" s="130"/>
      <c r="D25" s="131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M47"/>
  <sheetViews>
    <sheetView tabSelected="1" zoomScale="109" zoomScaleNormal="109" topLeftCell="A33" workbookViewId="0">
      <pane xSplit="1" topLeftCell="B1" activePane="topRight" state="frozen"/>
      <selection/>
      <selection pane="topRight" activeCell="B52" sqref="B52"/>
    </sheetView>
  </sheetViews>
  <sheetFormatPr defaultColWidth="8.83333333333333" defaultRowHeight="13.5"/>
  <cols>
    <col min="1" max="1" width="9" style="89" customWidth="1"/>
    <col min="2" max="2" width="75.5" customWidth="1"/>
    <col min="3" max="3" width="41.6666666666667" style="90" customWidth="1"/>
    <col min="4" max="4" width="75.5" customWidth="1"/>
    <col min="5" max="5" width="41.8333333333333" style="91" customWidth="1"/>
    <col min="6" max="6" width="17.3333333333333" customWidth="1"/>
    <col min="7" max="7" width="15.1666666666667" customWidth="1"/>
    <col min="8" max="9" width="19.6666666666667" customWidth="1"/>
    <col min="10" max="10" width="15.6666666666667" customWidth="1"/>
    <col min="11" max="11" width="9" customWidth="1"/>
    <col min="12" max="12" width="31.6666666666667" customWidth="1"/>
    <col min="13" max="13" width="25.8333333333333" customWidth="1"/>
  </cols>
  <sheetData>
    <row r="1" ht="21.75" customHeight="1" spans="1:13">
      <c r="A1" s="92" t="s">
        <v>0</v>
      </c>
      <c r="B1" s="93" t="s">
        <v>324</v>
      </c>
      <c r="C1" s="94" t="s">
        <v>325</v>
      </c>
      <c r="D1" s="93" t="s">
        <v>326</v>
      </c>
      <c r="E1" s="95" t="s">
        <v>327</v>
      </c>
      <c r="F1" s="93" t="s">
        <v>328</v>
      </c>
      <c r="G1" s="93" t="s">
        <v>329</v>
      </c>
      <c r="H1" s="93" t="s">
        <v>330</v>
      </c>
      <c r="I1" s="93" t="s">
        <v>331</v>
      </c>
      <c r="J1" s="93" t="s">
        <v>332</v>
      </c>
      <c r="K1" s="93" t="s">
        <v>2</v>
      </c>
      <c r="L1" s="96"/>
    </row>
    <row r="2" ht="21.75" customHeight="1" spans="1:13">
      <c r="A2" s="97">
        <v>1</v>
      </c>
      <c r="B2" s="98" t="s">
        <v>333</v>
      </c>
      <c r="C2" s="99" t="s">
        <v>334</v>
      </c>
      <c r="D2" s="98" t="s">
        <v>335</v>
      </c>
      <c r="E2" s="100" t="s">
        <v>336</v>
      </c>
      <c r="F2" s="98"/>
      <c r="G2" s="98"/>
      <c r="H2" s="98" t="s">
        <v>337</v>
      </c>
      <c r="I2" s="98"/>
      <c r="J2" s="97"/>
      <c r="K2" s="100" t="s">
        <v>336</v>
      </c>
      <c r="L2" s="96"/>
      <c r="M2" s="101"/>
    </row>
    <row r="3" ht="21.75" customHeight="1" spans="1:13">
      <c r="A3" s="97">
        <v>2</v>
      </c>
      <c r="B3" s="98" t="s">
        <v>338</v>
      </c>
      <c r="C3" s="99" t="s">
        <v>338</v>
      </c>
      <c r="D3" s="98" t="s">
        <v>339</v>
      </c>
      <c r="E3" s="100" t="s">
        <v>340</v>
      </c>
      <c r="F3" s="98"/>
      <c r="G3" s="98"/>
      <c r="H3" s="98" t="s">
        <v>337</v>
      </c>
      <c r="I3" s="98"/>
      <c r="J3" s="97"/>
      <c r="K3" s="100" t="s">
        <v>340</v>
      </c>
      <c r="L3" s="96"/>
    </row>
    <row r="4" ht="21.75" customHeight="1" spans="1:13">
      <c r="A4" s="97">
        <v>3</v>
      </c>
      <c r="B4" s="93" t="s">
        <v>341</v>
      </c>
      <c r="C4" s="99" t="s">
        <v>341</v>
      </c>
      <c r="D4" s="98" t="s">
        <v>342</v>
      </c>
      <c r="E4" s="102" t="s">
        <v>343</v>
      </c>
      <c r="F4" s="98"/>
      <c r="G4" s="98"/>
      <c r="H4" s="98" t="s">
        <v>337</v>
      </c>
      <c r="I4" s="98"/>
      <c r="J4" s="97"/>
      <c r="K4" s="100" t="s">
        <v>185</v>
      </c>
      <c r="L4" s="96"/>
    </row>
    <row r="5" ht="21.75" customHeight="1" spans="1:13">
      <c r="A5" s="97">
        <v>4</v>
      </c>
      <c r="B5" s="98" t="s">
        <v>344</v>
      </c>
      <c r="C5" s="99" t="s">
        <v>344</v>
      </c>
      <c r="D5" s="98" t="s">
        <v>344</v>
      </c>
      <c r="E5" s="103" t="s">
        <v>343</v>
      </c>
      <c r="F5" s="98"/>
      <c r="G5" s="98"/>
      <c r="H5" s="98" t="s">
        <v>337</v>
      </c>
      <c r="I5" s="98"/>
      <c r="J5" s="97"/>
      <c r="K5" s="100" t="s">
        <v>185</v>
      </c>
      <c r="L5" s="96"/>
    </row>
    <row r="6" ht="21.75" customHeight="1" spans="1:13">
      <c r="A6" s="97">
        <v>5</v>
      </c>
      <c r="B6" s="98" t="s">
        <v>345</v>
      </c>
      <c r="C6" s="99" t="s">
        <v>258</v>
      </c>
      <c r="D6" s="98" t="s">
        <v>346</v>
      </c>
      <c r="E6" s="103" t="s">
        <v>347</v>
      </c>
      <c r="F6" s="98"/>
      <c r="G6" s="98" t="s">
        <v>348</v>
      </c>
      <c r="H6" s="98" t="s">
        <v>337</v>
      </c>
      <c r="I6" s="104" t="s">
        <v>349</v>
      </c>
      <c r="J6" s="99"/>
      <c r="K6" s="100" t="s">
        <v>350</v>
      </c>
      <c r="L6" s="96"/>
    </row>
    <row r="7" ht="21.75" customHeight="1" spans="1:13">
      <c r="A7" s="97">
        <v>6</v>
      </c>
      <c r="B7" s="105" t="s">
        <v>351</v>
      </c>
      <c r="C7" s="106" t="s">
        <v>352</v>
      </c>
      <c r="D7" s="105" t="s">
        <v>353</v>
      </c>
      <c r="E7" s="102" t="s">
        <v>343</v>
      </c>
      <c r="F7" s="98"/>
      <c r="G7" s="98"/>
      <c r="H7" s="98" t="s">
        <v>337</v>
      </c>
      <c r="I7" s="98"/>
      <c r="J7" s="97"/>
      <c r="K7" s="100" t="s">
        <v>185</v>
      </c>
      <c r="L7" s="96"/>
    </row>
    <row r="8" ht="21.75" customHeight="1" spans="1:13">
      <c r="A8" s="97">
        <v>7</v>
      </c>
      <c r="B8" s="93" t="s">
        <v>354</v>
      </c>
      <c r="C8" s="99" t="s">
        <v>355</v>
      </c>
      <c r="D8" s="98" t="s">
        <v>356</v>
      </c>
      <c r="E8" s="102" t="s">
        <v>343</v>
      </c>
      <c r="F8" s="98"/>
      <c r="G8" s="98" t="s">
        <v>348</v>
      </c>
      <c r="H8" s="98" t="s">
        <v>337</v>
      </c>
      <c r="I8" s="98"/>
      <c r="J8" s="97"/>
      <c r="K8" s="100" t="s">
        <v>185</v>
      </c>
      <c r="L8" s="96"/>
    </row>
    <row r="9" ht="21.75" customHeight="1" spans="1:13">
      <c r="A9" s="97">
        <v>8</v>
      </c>
      <c r="B9" s="93" t="s">
        <v>357</v>
      </c>
      <c r="C9" s="99" t="s">
        <v>357</v>
      </c>
      <c r="D9" s="98" t="s">
        <v>358</v>
      </c>
      <c r="E9" s="102" t="s">
        <v>343</v>
      </c>
      <c r="F9" s="98" t="s">
        <v>348</v>
      </c>
      <c r="G9" s="98" t="s">
        <v>348</v>
      </c>
      <c r="H9" s="98" t="s">
        <v>337</v>
      </c>
      <c r="I9" s="98"/>
      <c r="J9" s="97"/>
      <c r="K9" s="100" t="s">
        <v>185</v>
      </c>
      <c r="L9" s="96"/>
    </row>
    <row r="10" ht="21.75" customHeight="1" spans="1:13">
      <c r="A10" s="97">
        <v>9</v>
      </c>
      <c r="B10" s="93" t="s">
        <v>359</v>
      </c>
      <c r="C10" s="99" t="s">
        <v>359</v>
      </c>
      <c r="D10" s="98" t="s">
        <v>360</v>
      </c>
      <c r="E10" s="102" t="s">
        <v>343</v>
      </c>
      <c r="F10" s="98" t="s">
        <v>348</v>
      </c>
      <c r="G10" s="98" t="s">
        <v>348</v>
      </c>
      <c r="H10" s="98" t="s">
        <v>337</v>
      </c>
      <c r="I10" s="98"/>
      <c r="J10" s="97"/>
      <c r="K10" s="100" t="s">
        <v>185</v>
      </c>
      <c r="L10" s="96"/>
    </row>
    <row r="11" ht="21.75" customHeight="1" spans="1:13">
      <c r="A11" s="97">
        <v>10</v>
      </c>
      <c r="B11" s="93" t="s">
        <v>361</v>
      </c>
      <c r="C11" s="99" t="s">
        <v>361</v>
      </c>
      <c r="D11" s="98" t="s">
        <v>362</v>
      </c>
      <c r="E11" s="102" t="s">
        <v>343</v>
      </c>
      <c r="F11" s="98" t="s">
        <v>348</v>
      </c>
      <c r="G11" s="98" t="s">
        <v>348</v>
      </c>
      <c r="H11" s="98" t="s">
        <v>337</v>
      </c>
      <c r="I11" s="98"/>
      <c r="J11" s="97"/>
      <c r="K11" s="100" t="s">
        <v>185</v>
      </c>
      <c r="L11" s="96"/>
    </row>
    <row r="12" ht="21.75" customHeight="1" spans="1:13">
      <c r="A12" s="97">
        <v>11</v>
      </c>
      <c r="B12" s="93" t="s">
        <v>363</v>
      </c>
      <c r="C12" s="99" t="s">
        <v>364</v>
      </c>
      <c r="D12" s="98" t="s">
        <v>365</v>
      </c>
      <c r="E12" s="102" t="s">
        <v>343</v>
      </c>
      <c r="F12" s="98" t="s">
        <v>348</v>
      </c>
      <c r="G12" s="98" t="s">
        <v>348</v>
      </c>
      <c r="H12" s="98" t="s">
        <v>337</v>
      </c>
      <c r="I12" s="98"/>
      <c r="J12" s="97"/>
      <c r="K12" s="100" t="s">
        <v>185</v>
      </c>
      <c r="L12" s="96"/>
    </row>
    <row r="13" ht="21.75" customHeight="1" spans="1:13">
      <c r="A13" s="97">
        <v>12</v>
      </c>
      <c r="B13" s="93" t="s">
        <v>366</v>
      </c>
      <c r="C13" s="99" t="s">
        <v>366</v>
      </c>
      <c r="D13" s="98" t="s">
        <v>367</v>
      </c>
      <c r="E13" s="102" t="s">
        <v>343</v>
      </c>
      <c r="F13" s="98" t="s">
        <v>348</v>
      </c>
      <c r="G13" s="98" t="s">
        <v>348</v>
      </c>
      <c r="H13" s="98" t="s">
        <v>337</v>
      </c>
      <c r="I13" s="98"/>
      <c r="J13" s="97"/>
      <c r="K13" s="100" t="s">
        <v>185</v>
      </c>
      <c r="L13" s="96"/>
    </row>
    <row r="14" ht="21.75" customHeight="1" spans="1:13">
      <c r="A14" s="97">
        <v>13</v>
      </c>
      <c r="B14" s="93" t="s">
        <v>368</v>
      </c>
      <c r="C14" s="107" t="s">
        <v>368</v>
      </c>
      <c r="D14" s="98" t="s">
        <v>368</v>
      </c>
      <c r="E14" s="102" t="s">
        <v>343</v>
      </c>
      <c r="F14" s="98" t="s">
        <v>348</v>
      </c>
      <c r="G14" s="98" t="s">
        <v>348</v>
      </c>
      <c r="H14" s="98" t="s">
        <v>337</v>
      </c>
      <c r="I14" s="98"/>
      <c r="J14" s="97"/>
      <c r="K14" s="100" t="s">
        <v>185</v>
      </c>
      <c r="L14" s="96"/>
    </row>
    <row r="15" ht="21.75" customHeight="1" spans="1:13">
      <c r="A15" s="97">
        <v>14</v>
      </c>
      <c r="B15" s="93" t="s">
        <v>369</v>
      </c>
      <c r="C15" s="99" t="s">
        <v>369</v>
      </c>
      <c r="D15" s="98" t="s">
        <v>370</v>
      </c>
      <c r="E15" s="102" t="s">
        <v>343</v>
      </c>
      <c r="F15" s="98" t="s">
        <v>348</v>
      </c>
      <c r="G15" s="98" t="s">
        <v>348</v>
      </c>
      <c r="H15" s="98" t="s">
        <v>337</v>
      </c>
      <c r="I15" s="98"/>
      <c r="J15" s="97"/>
      <c r="K15" s="100" t="s">
        <v>185</v>
      </c>
      <c r="L15" s="96"/>
    </row>
    <row r="16" ht="21.75" customHeight="1" spans="1:13">
      <c r="A16" s="97">
        <v>15</v>
      </c>
      <c r="B16" s="93" t="s">
        <v>371</v>
      </c>
      <c r="C16" s="99" t="s">
        <v>372</v>
      </c>
      <c r="D16" s="98" t="s">
        <v>373</v>
      </c>
      <c r="E16" s="102" t="s">
        <v>343</v>
      </c>
      <c r="F16" s="98" t="s">
        <v>348</v>
      </c>
      <c r="G16" s="98" t="s">
        <v>348</v>
      </c>
      <c r="H16" s="98" t="s">
        <v>337</v>
      </c>
      <c r="I16" s="98"/>
      <c r="J16" s="97"/>
      <c r="K16" s="100" t="s">
        <v>185</v>
      </c>
      <c r="L16" s="96"/>
    </row>
    <row r="17" ht="21.75" customHeight="1" spans="1:12">
      <c r="A17" s="97">
        <v>16</v>
      </c>
      <c r="B17" s="93" t="s">
        <v>374</v>
      </c>
      <c r="C17" s="99" t="s">
        <v>375</v>
      </c>
      <c r="D17" s="98" t="s">
        <v>376</v>
      </c>
      <c r="E17" s="103"/>
      <c r="F17" s="98" t="s">
        <v>348</v>
      </c>
      <c r="G17" s="98" t="s">
        <v>348</v>
      </c>
      <c r="H17" s="98" t="s">
        <v>377</v>
      </c>
      <c r="I17" s="98"/>
      <c r="J17" s="97"/>
      <c r="K17" s="100" t="s">
        <v>378</v>
      </c>
      <c r="L17" s="96"/>
    </row>
    <row r="18" ht="21.75" customHeight="1" spans="1:12">
      <c r="A18" s="97">
        <v>17</v>
      </c>
      <c r="B18" s="93" t="s">
        <v>379</v>
      </c>
      <c r="C18" s="99" t="s">
        <v>379</v>
      </c>
      <c r="D18" s="98" t="s">
        <v>380</v>
      </c>
      <c r="E18" s="103"/>
      <c r="F18" s="98" t="s">
        <v>348</v>
      </c>
      <c r="G18" s="98" t="s">
        <v>348</v>
      </c>
      <c r="H18" s="98" t="s">
        <v>377</v>
      </c>
      <c r="I18" s="98"/>
      <c r="J18" s="97"/>
      <c r="K18" s="100" t="s">
        <v>13</v>
      </c>
      <c r="L18" s="96"/>
    </row>
    <row r="19" ht="21.75" customHeight="1" spans="1:12">
      <c r="A19" s="97">
        <v>18</v>
      </c>
      <c r="B19" s="93" t="s">
        <v>381</v>
      </c>
      <c r="C19" s="99" t="s">
        <v>382</v>
      </c>
      <c r="D19" s="98" t="s">
        <v>383</v>
      </c>
      <c r="E19" s="103" t="s">
        <v>384</v>
      </c>
      <c r="F19" s="98" t="s">
        <v>348</v>
      </c>
      <c r="G19" s="98"/>
      <c r="H19" s="98" t="s">
        <v>377</v>
      </c>
      <c r="I19" s="98"/>
      <c r="J19" s="97"/>
      <c r="K19" s="100" t="s">
        <v>384</v>
      </c>
      <c r="L19" s="96"/>
    </row>
    <row r="20" ht="21.75" customHeight="1" spans="1:12">
      <c r="A20" s="97">
        <v>19</v>
      </c>
      <c r="B20" s="93" t="s">
        <v>385</v>
      </c>
      <c r="C20" s="99" t="s">
        <v>385</v>
      </c>
      <c r="D20" s="98" t="s">
        <v>386</v>
      </c>
      <c r="E20" s="100" t="s">
        <v>336</v>
      </c>
      <c r="F20" s="98" t="s">
        <v>348</v>
      </c>
      <c r="G20" s="98"/>
      <c r="H20" s="98" t="s">
        <v>377</v>
      </c>
      <c r="I20" s="98"/>
      <c r="J20" s="97"/>
      <c r="K20" s="100" t="s">
        <v>336</v>
      </c>
      <c r="L20" s="96"/>
    </row>
    <row r="21" ht="21.75" customHeight="1" spans="1:12">
      <c r="A21" s="97">
        <v>20</v>
      </c>
      <c r="B21" s="93" t="s">
        <v>387</v>
      </c>
      <c r="C21" s="99" t="s">
        <v>387</v>
      </c>
      <c r="D21" s="98" t="s">
        <v>388</v>
      </c>
      <c r="E21" s="100" t="s">
        <v>336</v>
      </c>
      <c r="F21" s="98" t="s">
        <v>348</v>
      </c>
      <c r="G21" s="98"/>
      <c r="H21" s="98" t="s">
        <v>377</v>
      </c>
      <c r="I21" s="98"/>
      <c r="J21" s="97"/>
      <c r="K21" s="100" t="s">
        <v>336</v>
      </c>
      <c r="L21" s="96"/>
    </row>
    <row r="22" ht="21.75" customHeight="1" spans="1:12">
      <c r="A22" s="97">
        <v>21</v>
      </c>
      <c r="B22" s="93" t="s">
        <v>389</v>
      </c>
      <c r="C22" s="99" t="s">
        <v>389</v>
      </c>
      <c r="D22" s="98" t="s">
        <v>390</v>
      </c>
      <c r="E22" s="100" t="s">
        <v>336</v>
      </c>
      <c r="F22" s="98" t="s">
        <v>348</v>
      </c>
      <c r="G22" s="98"/>
      <c r="H22" s="98" t="s">
        <v>377</v>
      </c>
      <c r="I22" s="98"/>
      <c r="J22" s="97"/>
      <c r="K22" s="100" t="s">
        <v>336</v>
      </c>
      <c r="L22" s="96"/>
    </row>
    <row r="23" ht="21.75" customHeight="1" spans="1:12">
      <c r="A23" s="97">
        <v>22</v>
      </c>
      <c r="B23" s="93" t="s">
        <v>391</v>
      </c>
      <c r="C23" s="99" t="s">
        <v>392</v>
      </c>
      <c r="D23" s="98" t="s">
        <v>393</v>
      </c>
      <c r="E23" s="103" t="s">
        <v>394</v>
      </c>
      <c r="F23" s="98"/>
      <c r="G23" s="98"/>
      <c r="H23" s="98" t="s">
        <v>377</v>
      </c>
      <c r="I23" s="104" t="s">
        <v>395</v>
      </c>
      <c r="J23" s="90"/>
      <c r="K23" s="100" t="s">
        <v>350</v>
      </c>
      <c r="L23" s="96"/>
    </row>
    <row r="24" ht="37.5" customHeight="1" spans="1:12">
      <c r="A24" s="97">
        <v>23</v>
      </c>
      <c r="B24" s="108" t="s">
        <v>396</v>
      </c>
      <c r="C24" s="99" t="s">
        <v>397</v>
      </c>
      <c r="D24" s="105" t="s">
        <v>398</v>
      </c>
      <c r="E24" s="8">
        <v>300</v>
      </c>
      <c r="F24" s="98" t="s">
        <v>348</v>
      </c>
      <c r="G24" s="98" t="s">
        <v>348</v>
      </c>
      <c r="H24" s="98" t="s">
        <v>399</v>
      </c>
      <c r="I24" s="98"/>
      <c r="J24" s="97"/>
      <c r="K24" s="100" t="s">
        <v>400</v>
      </c>
      <c r="L24" s="96"/>
    </row>
    <row r="25" ht="21.75" customHeight="1" spans="1:12">
      <c r="A25" s="97">
        <v>24</v>
      </c>
      <c r="B25" s="98" t="s">
        <v>333</v>
      </c>
      <c r="C25" s="109" t="s">
        <v>401</v>
      </c>
      <c r="D25" s="93" t="s">
        <v>335</v>
      </c>
      <c r="E25" s="103"/>
      <c r="F25" s="98"/>
      <c r="G25" s="98"/>
      <c r="H25" s="98" t="s">
        <v>337</v>
      </c>
      <c r="I25" s="98"/>
      <c r="J25" s="97"/>
      <c r="K25" s="100" t="s">
        <v>336</v>
      </c>
      <c r="L25" s="96"/>
    </row>
    <row r="26" ht="37.5" customHeight="1" spans="1:12">
      <c r="A26" s="97">
        <v>25</v>
      </c>
      <c r="B26" s="105" t="s">
        <v>402</v>
      </c>
      <c r="C26" s="99" t="s">
        <v>403</v>
      </c>
      <c r="D26" s="105" t="s">
        <v>398</v>
      </c>
      <c r="E26" s="8">
        <v>400</v>
      </c>
      <c r="F26" s="98" t="s">
        <v>348</v>
      </c>
      <c r="G26" s="98" t="s">
        <v>348</v>
      </c>
      <c r="H26" s="98" t="s">
        <v>399</v>
      </c>
      <c r="I26" s="98"/>
      <c r="J26" s="97"/>
      <c r="K26" s="100" t="s">
        <v>400</v>
      </c>
      <c r="L26" s="96"/>
    </row>
    <row r="27" ht="21.75" customHeight="1" spans="1:12">
      <c r="A27" s="97">
        <v>26</v>
      </c>
      <c r="B27" s="93" t="s">
        <v>404</v>
      </c>
      <c r="C27" s="99" t="s">
        <v>405</v>
      </c>
      <c r="D27" s="98" t="s">
        <v>406</v>
      </c>
      <c r="E27" s="103">
        <v>250</v>
      </c>
      <c r="F27" s="98" t="s">
        <v>348</v>
      </c>
      <c r="G27" s="98" t="s">
        <v>348</v>
      </c>
      <c r="H27" s="98" t="s">
        <v>399</v>
      </c>
      <c r="I27" s="98"/>
      <c r="J27" s="97"/>
      <c r="K27" s="100" t="s">
        <v>400</v>
      </c>
      <c r="L27" s="96"/>
    </row>
    <row r="28" ht="21.75" customHeight="1" spans="1:12">
      <c r="A28" s="97">
        <v>27</v>
      </c>
      <c r="B28" s="93" t="s">
        <v>407</v>
      </c>
      <c r="C28" s="99" t="s">
        <v>408</v>
      </c>
      <c r="D28" s="98" t="s">
        <v>406</v>
      </c>
      <c r="E28" s="103">
        <v>300</v>
      </c>
      <c r="F28" s="98" t="s">
        <v>348</v>
      </c>
      <c r="G28" s="98" t="s">
        <v>348</v>
      </c>
      <c r="H28" s="98" t="s">
        <v>399</v>
      </c>
      <c r="I28" s="98"/>
      <c r="J28" s="97"/>
      <c r="K28" s="100" t="s">
        <v>400</v>
      </c>
      <c r="L28" s="96"/>
    </row>
    <row r="29" ht="21.75" customHeight="1" spans="1:12">
      <c r="A29" s="97">
        <v>28</v>
      </c>
      <c r="B29" s="93" t="s">
        <v>409</v>
      </c>
      <c r="C29" s="99" t="s">
        <v>410</v>
      </c>
      <c r="D29" s="98" t="s">
        <v>406</v>
      </c>
      <c r="E29" s="103">
        <v>350</v>
      </c>
      <c r="F29" s="98" t="s">
        <v>348</v>
      </c>
      <c r="G29" s="98" t="s">
        <v>348</v>
      </c>
      <c r="H29" s="98" t="s">
        <v>399</v>
      </c>
      <c r="I29" s="98"/>
      <c r="J29" s="97"/>
      <c r="K29" s="100" t="s">
        <v>400</v>
      </c>
      <c r="L29" s="96"/>
    </row>
    <row r="30" ht="21.75" customHeight="1" spans="1:12">
      <c r="A30" s="97">
        <v>29</v>
      </c>
      <c r="B30" s="93" t="s">
        <v>411</v>
      </c>
      <c r="C30" s="99" t="s">
        <v>412</v>
      </c>
      <c r="D30" s="98" t="s">
        <v>406</v>
      </c>
      <c r="E30" s="103">
        <v>400</v>
      </c>
      <c r="F30" s="98" t="s">
        <v>348</v>
      </c>
      <c r="G30" s="98" t="s">
        <v>348</v>
      </c>
      <c r="H30" s="98" t="s">
        <v>399</v>
      </c>
      <c r="I30" s="98"/>
      <c r="J30" s="97"/>
      <c r="K30" s="100" t="s">
        <v>400</v>
      </c>
      <c r="L30" s="96"/>
    </row>
    <row r="31" ht="21.75" customHeight="1" spans="1:12">
      <c r="A31" s="97">
        <v>30</v>
      </c>
      <c r="B31" s="93" t="s">
        <v>413</v>
      </c>
      <c r="C31" s="99" t="s">
        <v>414</v>
      </c>
      <c r="D31" s="98" t="s">
        <v>415</v>
      </c>
      <c r="E31" s="103"/>
      <c r="F31" s="98" t="s">
        <v>348</v>
      </c>
      <c r="G31" s="98" t="s">
        <v>348</v>
      </c>
      <c r="H31" s="110" t="s">
        <v>399</v>
      </c>
      <c r="I31" s="110"/>
      <c r="J31" s="97"/>
      <c r="K31" s="100" t="s">
        <v>400</v>
      </c>
      <c r="L31" s="96"/>
    </row>
    <row r="32" ht="21.75" customHeight="1" spans="1:12">
      <c r="A32" s="97">
        <v>31</v>
      </c>
      <c r="B32" s="93" t="s">
        <v>416</v>
      </c>
      <c r="C32" s="99" t="s">
        <v>417</v>
      </c>
      <c r="D32" s="98" t="s">
        <v>418</v>
      </c>
      <c r="E32" s="103"/>
      <c r="F32" s="98"/>
      <c r="G32" s="98" t="s">
        <v>348</v>
      </c>
      <c r="H32" s="110" t="s">
        <v>377</v>
      </c>
      <c r="I32" s="110" t="s">
        <v>419</v>
      </c>
      <c r="J32" s="97"/>
      <c r="K32" s="100" t="s">
        <v>350</v>
      </c>
      <c r="L32" s="96"/>
    </row>
    <row r="33" ht="37.5" customHeight="1" spans="1:12">
      <c r="A33" s="97">
        <v>32</v>
      </c>
      <c r="B33" s="108" t="s">
        <v>420</v>
      </c>
      <c r="C33" s="99" t="s">
        <v>421</v>
      </c>
      <c r="D33" s="105" t="s">
        <v>422</v>
      </c>
      <c r="E33" s="8"/>
      <c r="F33" s="98"/>
      <c r="G33" s="105" t="s">
        <v>348</v>
      </c>
      <c r="H33" s="110" t="s">
        <v>377</v>
      </c>
      <c r="I33" s="110" t="s">
        <v>419</v>
      </c>
      <c r="J33" s="97"/>
      <c r="K33" s="100" t="s">
        <v>350</v>
      </c>
      <c r="L33" s="96"/>
    </row>
    <row r="34" ht="37.5" customHeight="1" spans="1:12">
      <c r="A34" s="97">
        <v>33</v>
      </c>
      <c r="B34" s="108" t="s">
        <v>423</v>
      </c>
      <c r="C34" s="99" t="s">
        <v>424</v>
      </c>
      <c r="D34" s="105" t="s">
        <v>425</v>
      </c>
      <c r="E34" s="8"/>
      <c r="F34" s="98"/>
      <c r="G34" s="105"/>
      <c r="H34" s="110" t="s">
        <v>377</v>
      </c>
      <c r="I34" s="110" t="s">
        <v>419</v>
      </c>
      <c r="J34" s="97"/>
      <c r="K34" s="100" t="s">
        <v>350</v>
      </c>
      <c r="L34" s="96"/>
    </row>
    <row r="35" ht="21.75" customHeight="1" spans="1:12">
      <c r="A35" s="97">
        <v>34</v>
      </c>
      <c r="B35" s="93" t="s">
        <v>426</v>
      </c>
      <c r="C35" s="99" t="s">
        <v>427</v>
      </c>
      <c r="D35" s="98" t="s">
        <v>428</v>
      </c>
      <c r="E35" s="103"/>
      <c r="F35" s="98"/>
      <c r="G35" s="98"/>
      <c r="H35" s="98" t="s">
        <v>377</v>
      </c>
      <c r="I35" s="110" t="s">
        <v>419</v>
      </c>
      <c r="J35" s="97"/>
      <c r="K35" s="100" t="s">
        <v>350</v>
      </c>
      <c r="L35" s="96"/>
    </row>
    <row r="36" ht="21.75" customHeight="1" spans="1:12">
      <c r="A36" s="97">
        <v>35</v>
      </c>
      <c r="B36" s="98" t="s">
        <v>429</v>
      </c>
      <c r="C36" s="99" t="s">
        <v>430</v>
      </c>
      <c r="D36" s="98" t="s">
        <v>431</v>
      </c>
      <c r="E36" s="103" t="s">
        <v>432</v>
      </c>
      <c r="F36" s="98"/>
      <c r="G36" s="98"/>
      <c r="H36" s="98" t="s">
        <v>377</v>
      </c>
      <c r="I36" s="98"/>
      <c r="J36" s="97"/>
      <c r="K36" s="100"/>
      <c r="L36" s="96"/>
    </row>
    <row r="37" ht="21.75" customHeight="1" spans="1:12">
      <c r="A37" s="97">
        <v>36</v>
      </c>
      <c r="B37" s="93" t="s">
        <v>433</v>
      </c>
      <c r="C37" s="99" t="s">
        <v>434</v>
      </c>
      <c r="D37" s="98" t="s">
        <v>435</v>
      </c>
      <c r="E37" s="103"/>
      <c r="F37" s="98" t="s">
        <v>348</v>
      </c>
      <c r="G37" s="98"/>
      <c r="H37" s="98" t="s">
        <v>337</v>
      </c>
      <c r="I37" s="110" t="s">
        <v>419</v>
      </c>
      <c r="J37" s="97"/>
      <c r="K37" s="100" t="s">
        <v>350</v>
      </c>
      <c r="L37" s="96"/>
    </row>
    <row r="38" ht="21.75" customHeight="1" spans="1:12">
      <c r="A38" s="97">
        <v>37</v>
      </c>
      <c r="B38" s="93" t="s">
        <v>436</v>
      </c>
      <c r="C38" s="99" t="s">
        <v>436</v>
      </c>
      <c r="D38" s="98" t="s">
        <v>437</v>
      </c>
      <c r="E38" s="103" t="s">
        <v>438</v>
      </c>
      <c r="F38" s="98" t="s">
        <v>348</v>
      </c>
      <c r="G38" s="98"/>
      <c r="H38" s="98" t="s">
        <v>337</v>
      </c>
      <c r="I38" s="98"/>
      <c r="J38" s="97"/>
      <c r="K38" s="100" t="s">
        <v>438</v>
      </c>
      <c r="L38" s="96"/>
    </row>
    <row r="39" ht="21.75" customHeight="1" spans="1:12">
      <c r="A39" s="97">
        <v>38</v>
      </c>
      <c r="B39" s="93" t="s">
        <v>439</v>
      </c>
      <c r="C39" s="99" t="s">
        <v>439</v>
      </c>
      <c r="D39" s="98" t="s">
        <v>440</v>
      </c>
      <c r="E39" s="103" t="s">
        <v>438</v>
      </c>
      <c r="F39" s="98" t="s">
        <v>348</v>
      </c>
      <c r="G39" s="98"/>
      <c r="H39" s="98" t="s">
        <v>337</v>
      </c>
      <c r="I39" s="98"/>
      <c r="J39" s="97"/>
      <c r="K39" s="100" t="s">
        <v>438</v>
      </c>
      <c r="L39" s="96"/>
    </row>
    <row r="40" ht="21.75" customHeight="1" spans="1:12">
      <c r="A40" s="97">
        <v>39</v>
      </c>
      <c r="B40" s="93" t="s">
        <v>441</v>
      </c>
      <c r="C40" s="99" t="s">
        <v>441</v>
      </c>
      <c r="D40" s="98" t="s">
        <v>442</v>
      </c>
      <c r="E40" s="103" t="s">
        <v>343</v>
      </c>
      <c r="F40" s="98" t="s">
        <v>348</v>
      </c>
      <c r="G40" s="98"/>
      <c r="H40" s="98" t="s">
        <v>337</v>
      </c>
      <c r="I40" s="98"/>
      <c r="J40" s="97"/>
      <c r="K40" s="100" t="s">
        <v>185</v>
      </c>
      <c r="L40" s="96"/>
    </row>
    <row r="41" ht="21.75" customHeight="1" spans="1:12">
      <c r="A41" s="97">
        <v>40</v>
      </c>
      <c r="B41" s="93" t="s">
        <v>443</v>
      </c>
      <c r="C41" s="99" t="s">
        <v>443</v>
      </c>
      <c r="D41" s="98" t="s">
        <v>444</v>
      </c>
      <c r="E41" s="103" t="s">
        <v>343</v>
      </c>
      <c r="F41" s="98"/>
      <c r="G41" s="98"/>
      <c r="H41" s="98" t="s">
        <v>337</v>
      </c>
      <c r="I41" s="98"/>
      <c r="J41" s="97"/>
      <c r="K41" s="100" t="s">
        <v>185</v>
      </c>
      <c r="L41" s="96"/>
    </row>
    <row r="42" ht="21.75" customHeight="1" spans="1:12">
      <c r="A42" s="97">
        <v>41</v>
      </c>
      <c r="B42" s="93" t="s">
        <v>445</v>
      </c>
      <c r="C42" s="99" t="s">
        <v>445</v>
      </c>
      <c r="D42" s="98" t="s">
        <v>446</v>
      </c>
      <c r="E42" s="103" t="s">
        <v>343</v>
      </c>
      <c r="F42" s="98"/>
      <c r="G42" s="98"/>
      <c r="H42" s="98" t="s">
        <v>337</v>
      </c>
      <c r="I42" s="98"/>
      <c r="J42" s="97"/>
      <c r="K42" s="100" t="s">
        <v>185</v>
      </c>
      <c r="L42" s="96"/>
    </row>
    <row r="43" ht="21.75" customHeight="1" spans="1:12">
      <c r="A43" s="97">
        <v>42</v>
      </c>
      <c r="B43" s="93" t="s">
        <v>447</v>
      </c>
      <c r="C43" s="99" t="s">
        <v>447</v>
      </c>
      <c r="D43" s="98" t="s">
        <v>448</v>
      </c>
      <c r="E43" s="103" t="s">
        <v>343</v>
      </c>
      <c r="F43" s="98"/>
      <c r="G43" s="98"/>
      <c r="H43" s="98" t="s">
        <v>337</v>
      </c>
      <c r="I43" s="98"/>
      <c r="J43" s="97"/>
      <c r="K43" s="100" t="s">
        <v>185</v>
      </c>
      <c r="L43" s="96"/>
    </row>
    <row r="44" ht="21.75" customHeight="1" spans="1:12">
      <c r="A44" s="97">
        <v>43</v>
      </c>
      <c r="B44" s="108" t="s">
        <v>449</v>
      </c>
      <c r="C44" s="99" t="s">
        <v>140</v>
      </c>
      <c r="D44" s="105" t="s">
        <v>450</v>
      </c>
      <c r="E44" s="8" t="s">
        <v>451</v>
      </c>
      <c r="F44" s="105"/>
      <c r="G44" s="105"/>
      <c r="H44" s="98" t="s">
        <v>337</v>
      </c>
      <c r="I44" s="110" t="s">
        <v>419</v>
      </c>
      <c r="J44" s="97"/>
      <c r="K44" s="100" t="s">
        <v>350</v>
      </c>
      <c r="L44" s="96"/>
    </row>
    <row r="45" ht="21.75" customHeight="1" spans="1:12">
      <c r="A45" s="97">
        <v>44</v>
      </c>
      <c r="B45" s="98" t="s">
        <v>452</v>
      </c>
      <c r="C45" s="99" t="s">
        <v>453</v>
      </c>
      <c r="D45" s="98" t="s">
        <v>454</v>
      </c>
      <c r="E45" s="103" t="s">
        <v>455</v>
      </c>
      <c r="F45" s="98" t="s">
        <v>348</v>
      </c>
      <c r="G45" s="98"/>
      <c r="H45" s="98" t="s">
        <v>337</v>
      </c>
      <c r="I45" s="98"/>
      <c r="J45" s="111"/>
      <c r="K45" s="100" t="s">
        <v>400</v>
      </c>
      <c r="L45" s="96"/>
    </row>
    <row r="46" ht="22.5" customHeight="1" spans="1:12">
      <c r="A46" s="97">
        <v>45</v>
      </c>
      <c r="B46" s="93" t="s">
        <v>456</v>
      </c>
      <c r="C46" s="99" t="s">
        <v>456</v>
      </c>
      <c r="D46" s="98" t="s">
        <v>457</v>
      </c>
      <c r="E46" s="103" t="s">
        <v>458</v>
      </c>
      <c r="F46" s="98"/>
      <c r="G46" s="112" t="s">
        <v>348</v>
      </c>
      <c r="H46" s="112" t="s">
        <v>377</v>
      </c>
      <c r="I46" s="113" t="s">
        <v>419</v>
      </c>
      <c r="J46" s="114"/>
      <c r="K46" s="115" t="s">
        <v>350</v>
      </c>
      <c r="L46" s="96"/>
    </row>
    <row r="47" s="88" customFormat="1" spans="1:12">
      <c r="A47" s="116">
        <v>46</v>
      </c>
      <c r="B47" s="117" t="s">
        <v>459</v>
      </c>
      <c r="C47" s="118" t="s">
        <v>460</v>
      </c>
      <c r="D47" s="119" t="s">
        <v>461</v>
      </c>
      <c r="E47" s="120"/>
      <c r="F47" s="119" t="s">
        <v>348</v>
      </c>
      <c r="G47" s="118" t="s">
        <v>462</v>
      </c>
      <c r="H47" s="119" t="s">
        <v>337</v>
      </c>
      <c r="I47" s="121" t="s">
        <v>463</v>
      </c>
      <c r="J47" s="118"/>
      <c r="K47" s="116" t="s">
        <v>350</v>
      </c>
      <c r="L47" s="122"/>
    </row>
  </sheetData>
  <dataValidations count="4">
    <dataValidation type="list" allowBlank="1" showInputMessage="1" showErrorMessage="1" sqref="J6">
      <formula1>"平原,山地"</formula1>
    </dataValidation>
    <dataValidation type="list" allowBlank="1" showInputMessage="1" showErrorMessage="1" sqref="J23">
      <formula1>"组串式逆变器,集中式逆变器,分布式逆变器"</formula1>
    </dataValidation>
    <dataValidation type="list" allowBlank="1" showInputMessage="1" showErrorMessage="1" sqref="J47 M47">
      <formula1>"N型,P型,HTJ,BC"</formula1>
    </dataValidation>
    <dataValidation type="list" allowBlank="1" showInputMessage="1" showErrorMessage="1" sqref="M48:M50">
      <formula1>$M$47:$M$50</formula1>
    </dataValidation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U56"/>
  <sheetViews>
    <sheetView workbookViewId="0">
      <pane ySplit="4" topLeftCell="A5" activePane="bottomLeft" state="frozen"/>
      <selection/>
      <selection pane="bottomLeft" activeCell="A1" sqref="A1:U1"/>
    </sheetView>
  </sheetViews>
  <sheetFormatPr defaultColWidth="8.83333333333333" defaultRowHeight="13.5"/>
  <cols>
    <col min="1" max="1" width="10.8333333333333" style="34" customWidth="1"/>
    <col min="2" max="2" width="20.8333333333333" style="3" customWidth="1"/>
    <col min="3" max="3" width="14.8333333333333" style="3" customWidth="1"/>
    <col min="4" max="8" width="14.8333333333333" style="35" customWidth="1"/>
    <col min="9" max="9" width="14.8333333333333" style="34" customWidth="1"/>
    <col min="10" max="10" width="28.8333333333333" style="3" customWidth="1"/>
    <col min="11" max="21" width="20.8333333333333" style="34" customWidth="1"/>
  </cols>
  <sheetData>
    <row r="1" s="1" customFormat="1" ht="60" customHeight="1" spans="1:21">
      <c r="A1" s="36" t="s">
        <v>464</v>
      </c>
      <c r="B1" s="37"/>
      <c r="C1" s="37"/>
      <c r="D1" s="38"/>
      <c r="E1" s="38"/>
      <c r="F1" s="38"/>
      <c r="G1" s="38"/>
      <c r="H1" s="38"/>
      <c r="I1" s="36"/>
      <c r="J1" s="37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="1" customFormat="1" ht="120" customHeight="1" spans="1:21">
      <c r="A2" s="39" t="s">
        <v>0</v>
      </c>
      <c r="B2" s="40" t="s">
        <v>1</v>
      </c>
      <c r="C2" s="41" t="s">
        <v>2</v>
      </c>
      <c r="D2" s="42" t="s">
        <v>465</v>
      </c>
      <c r="E2" s="42"/>
      <c r="F2" s="42"/>
      <c r="G2" s="42"/>
      <c r="H2" s="42"/>
      <c r="I2" s="43" t="s">
        <v>466</v>
      </c>
      <c r="J2" s="44" t="s">
        <v>467</v>
      </c>
      <c r="K2" s="45">
        <f>输入信息!J2</f>
        <v>0</v>
      </c>
      <c r="L2" s="43" t="s">
        <v>468</v>
      </c>
      <c r="M2" s="43" t="str">
        <f>I5</f>
        <v>地形</v>
      </c>
      <c r="N2" s="43" t="s">
        <v>469</v>
      </c>
      <c r="O2" s="43" t="s">
        <v>470</v>
      </c>
      <c r="P2" s="43" t="s">
        <v>471</v>
      </c>
      <c r="Q2" s="43" t="s">
        <v>472</v>
      </c>
      <c r="R2" s="43" t="s">
        <v>473</v>
      </c>
      <c r="S2" s="46" t="s">
        <v>474</v>
      </c>
      <c r="T2" s="46"/>
      <c r="U2" s="46"/>
    </row>
    <row r="3" s="1" customFormat="1" ht="40" customHeight="1" spans="1:21">
      <c r="A3" s="47"/>
      <c r="B3" s="48"/>
      <c r="C3" s="48" t="s">
        <v>475</v>
      </c>
      <c r="D3" s="49">
        <v>50</v>
      </c>
      <c r="E3" s="49">
        <v>100</v>
      </c>
      <c r="F3" s="49">
        <v>200</v>
      </c>
      <c r="G3" s="49">
        <v>500</v>
      </c>
      <c r="H3" s="49">
        <v>1000</v>
      </c>
      <c r="I3" s="50" t="e">
        <f>SUM(I4:I48)</f>
        <v>#DIV/0!</v>
      </c>
      <c r="J3" s="51" t="s">
        <v>476</v>
      </c>
      <c r="K3" s="52">
        <f>输入信息!J3</f>
        <v>0</v>
      </c>
      <c r="L3" s="53" t="e">
        <f>K4/K2*10</f>
        <v>#DIV/0!</v>
      </c>
      <c r="M3" s="53">
        <f>I6</f>
        <v>0</v>
      </c>
      <c r="N3" s="53" t="e">
        <f>K4-K6-K8</f>
        <v>#DIV/0!</v>
      </c>
      <c r="O3" s="53" t="e">
        <f>N3/K2*10</f>
        <v>#DIV/0!</v>
      </c>
      <c r="P3" s="53" t="e">
        <f>I3</f>
        <v>#DIV/0!</v>
      </c>
      <c r="Q3" s="53" t="e">
        <f>(O3-P3)/P3</f>
        <v>#DIV/0!</v>
      </c>
      <c r="R3" s="53" t="e">
        <f>IF(Q3&gt;=0%,"超标","未超标")</f>
        <v>#DIV/0!</v>
      </c>
      <c r="S3" s="54"/>
      <c r="T3" s="54"/>
      <c r="U3" s="54"/>
    </row>
    <row r="4" s="1" customFormat="1" ht="40" customHeight="1" spans="1:21">
      <c r="A4" s="47"/>
      <c r="B4" s="48"/>
      <c r="C4" s="55" t="s">
        <v>477</v>
      </c>
      <c r="D4" s="56">
        <v>60</v>
      </c>
      <c r="E4" s="56">
        <v>120</v>
      </c>
      <c r="F4" s="56">
        <v>240</v>
      </c>
      <c r="G4" s="56">
        <v>600</v>
      </c>
      <c r="H4" s="56">
        <v>1200</v>
      </c>
      <c r="I4" s="49"/>
      <c r="J4" s="51" t="s">
        <v>478</v>
      </c>
      <c r="K4" s="52">
        <f>输入信息!J4</f>
        <v>0</v>
      </c>
      <c r="L4" s="57"/>
      <c r="M4" s="57"/>
      <c r="N4" s="57"/>
      <c r="O4" s="57"/>
      <c r="P4" s="57"/>
      <c r="Q4" s="57"/>
      <c r="R4" s="57"/>
      <c r="S4" s="57"/>
      <c r="T4" s="57"/>
      <c r="U4" s="57"/>
    </row>
    <row r="5" s="1" customFormat="1" ht="40" customHeight="1" spans="1:21">
      <c r="A5" s="56">
        <v>1</v>
      </c>
      <c r="B5" s="55" t="s">
        <v>479</v>
      </c>
      <c r="C5" s="58"/>
      <c r="D5" s="59"/>
      <c r="E5" s="59"/>
      <c r="F5" s="59"/>
      <c r="G5" s="59"/>
      <c r="H5" s="60"/>
      <c r="I5" s="47" t="s">
        <v>258</v>
      </c>
      <c r="J5" s="51" t="s">
        <v>480</v>
      </c>
      <c r="K5" s="52">
        <f>输入信息!J5</f>
        <v>0</v>
      </c>
      <c r="L5" s="57"/>
      <c r="M5" s="61"/>
      <c r="N5" s="61"/>
      <c r="O5" s="61"/>
      <c r="P5" s="61"/>
      <c r="Q5" s="61"/>
      <c r="R5" s="61"/>
      <c r="S5" s="61"/>
      <c r="T5" s="61"/>
      <c r="U5" s="61"/>
    </row>
    <row r="6" s="1" customFormat="1" ht="40" customHeight="1" spans="1:21">
      <c r="A6" s="47">
        <v>1.1</v>
      </c>
      <c r="B6" s="48" t="s">
        <v>12</v>
      </c>
      <c r="C6" s="48" t="s">
        <v>481</v>
      </c>
      <c r="D6" s="49">
        <v>2581</v>
      </c>
      <c r="E6" s="49">
        <v>2433</v>
      </c>
      <c r="F6" s="49">
        <v>2416</v>
      </c>
      <c r="G6" s="49">
        <v>2353</v>
      </c>
      <c r="H6" s="49">
        <v>2334</v>
      </c>
      <c r="I6" s="52">
        <f>输入信息!J6</f>
        <v>0</v>
      </c>
      <c r="J6" s="62" t="s">
        <v>482</v>
      </c>
      <c r="K6" s="63" t="e">
        <f>K8/(K4-K5)*K5</f>
        <v>#DIV/0!</v>
      </c>
      <c r="L6" s="57"/>
      <c r="M6" s="57"/>
      <c r="N6" s="57"/>
      <c r="O6" s="57"/>
      <c r="P6" s="57"/>
      <c r="Q6" s="57"/>
      <c r="R6" s="57"/>
      <c r="S6" s="57"/>
      <c r="T6" s="57"/>
      <c r="U6" s="57"/>
    </row>
    <row r="7" s="1" customFormat="1" ht="40" customHeight="1" spans="1:21">
      <c r="A7" s="47">
        <v>1.2</v>
      </c>
      <c r="B7" s="48" t="s">
        <v>16</v>
      </c>
      <c r="C7" s="48" t="s">
        <v>481</v>
      </c>
      <c r="D7" s="49">
        <v>2730</v>
      </c>
      <c r="E7" s="49">
        <v>2585</v>
      </c>
      <c r="F7" s="49">
        <v>2568</v>
      </c>
      <c r="G7" s="49">
        <v>2500</v>
      </c>
      <c r="H7" s="49">
        <v>2483</v>
      </c>
      <c r="I7" s="50">
        <f>IF(I6="平原",IF(K2&lt;60,D6,IF(K2&gt;1200,H6,INDEX(D6:H6,MATCH(K2,D4:H4,1))+(INDEX(D6:H6,MATCH(K2,D4:H4,1)+1)-INDEX(D6:H6,MATCH(K2,D4:H4,1)))*(K2-INDEX(D4:H4,MATCH(K2,D4:H4,1)))/(INDEX(D4:H4,MATCH(K2,D4:H4,1)+1)-INDEX(D4:H4,MATCH(K2,D4:H4,1))))),IF(K2&lt;60,D7,IF(K2&gt;1200,H7,INDEX(D7:H7,MATCH(K2,D4:H4,1))+(INDEX(D7:H7,MATCH(K2,D4:H4,1)+1)-INDEX(D7:H7,MATCH(K2,D4:H4,1)))*(K2-INDEX(D4:H4,MATCH(K2,D4:H4,1)))/(INDEX(D4:H4,MATCH(K2,D4:H4,1)+1)-INDEX(D4:H4,MATCH(K2,D4:H4,1))))))</f>
        <v>2730</v>
      </c>
      <c r="J7" s="48"/>
      <c r="K7" s="47"/>
      <c r="L7" s="47" t="s">
        <v>483</v>
      </c>
      <c r="M7" s="47" t="s">
        <v>484</v>
      </c>
      <c r="N7" s="47" t="s">
        <v>485</v>
      </c>
      <c r="O7" s="47" t="s">
        <v>486</v>
      </c>
      <c r="P7" s="47" t="s">
        <v>487</v>
      </c>
      <c r="Q7" s="47" t="s">
        <v>488</v>
      </c>
      <c r="R7" s="47" t="s">
        <v>489</v>
      </c>
      <c r="S7" s="47" t="s">
        <v>490</v>
      </c>
      <c r="T7" s="47" t="s">
        <v>491</v>
      </c>
      <c r="U7" s="47" t="s">
        <v>492</v>
      </c>
    </row>
    <row r="8" s="1" customFormat="1" ht="40" customHeight="1" spans="1:21">
      <c r="A8" s="56">
        <v>2</v>
      </c>
      <c r="B8" s="55" t="s">
        <v>28</v>
      </c>
      <c r="C8" s="64"/>
      <c r="D8" s="65"/>
      <c r="E8" s="65"/>
      <c r="F8" s="65"/>
      <c r="G8" s="65"/>
      <c r="H8" s="65"/>
      <c r="I8" s="66"/>
      <c r="J8" s="41" t="s">
        <v>493</v>
      </c>
      <c r="K8" s="67">
        <f>SUM(L8:U8)</f>
        <v>0</v>
      </c>
      <c r="L8" s="52">
        <f>输入信息!J7</f>
        <v>0</v>
      </c>
      <c r="M8" s="52">
        <f>输入信息!J8</f>
        <v>0</v>
      </c>
      <c r="N8" s="52">
        <f>输入信息!J9</f>
        <v>0</v>
      </c>
      <c r="O8" s="52">
        <f>输入信息!J10</f>
        <v>0</v>
      </c>
      <c r="P8" s="52">
        <f>输入信息!J11</f>
        <v>0</v>
      </c>
      <c r="Q8" s="52">
        <f>输入信息!J12</f>
        <v>0</v>
      </c>
      <c r="R8" s="52">
        <f>输入信息!J13</f>
        <v>0</v>
      </c>
      <c r="S8" s="52">
        <f>输入信息!J14</f>
        <v>0</v>
      </c>
      <c r="T8" s="52">
        <f>输入信息!J15</f>
        <v>0</v>
      </c>
      <c r="U8" s="52">
        <f>输入信息!J16</f>
        <v>0</v>
      </c>
    </row>
    <row r="9" s="1" customFormat="1" ht="40" customHeight="1" spans="1:21">
      <c r="A9" s="47">
        <v>2.1</v>
      </c>
      <c r="B9" s="48" t="s">
        <v>494</v>
      </c>
      <c r="C9" s="68"/>
      <c r="D9" s="69"/>
      <c r="E9" s="69"/>
      <c r="F9" s="69"/>
      <c r="G9" s="69"/>
      <c r="H9" s="69"/>
      <c r="I9" s="70"/>
      <c r="J9" s="71"/>
      <c r="K9" s="61"/>
      <c r="L9" s="61"/>
      <c r="M9" s="61"/>
      <c r="N9" s="61"/>
      <c r="O9" s="61"/>
      <c r="P9" s="61"/>
      <c r="Q9" s="61"/>
      <c r="R9" s="61"/>
      <c r="S9" s="57"/>
      <c r="T9" s="57"/>
      <c r="U9" s="57"/>
    </row>
    <row r="10" s="1" customFormat="1" ht="40" customHeight="1" spans="1:21">
      <c r="A10" s="47" t="s">
        <v>31</v>
      </c>
      <c r="B10" s="48" t="s">
        <v>495</v>
      </c>
      <c r="C10" s="48" t="s">
        <v>481</v>
      </c>
      <c r="D10" s="72" t="s">
        <v>496</v>
      </c>
      <c r="E10" s="73"/>
      <c r="F10" s="73"/>
      <c r="G10" s="73"/>
      <c r="H10" s="74"/>
      <c r="I10" s="50">
        <f>L10-650</f>
        <v>-650</v>
      </c>
      <c r="J10" s="71"/>
      <c r="K10" s="47" t="s">
        <v>497</v>
      </c>
      <c r="L10" s="52">
        <f>输入信息!J17</f>
        <v>0</v>
      </c>
      <c r="M10" s="75" t="s">
        <v>498</v>
      </c>
      <c r="N10" s="75"/>
      <c r="O10" s="75"/>
      <c r="P10" s="75"/>
      <c r="Q10" s="75"/>
      <c r="R10" s="75"/>
      <c r="S10" s="75"/>
      <c r="T10" s="75"/>
      <c r="U10" s="75"/>
    </row>
    <row r="11" s="1" customFormat="1" ht="40" customHeight="1" spans="1:21">
      <c r="A11" s="47" t="s">
        <v>499</v>
      </c>
      <c r="B11" s="48" t="s">
        <v>500</v>
      </c>
      <c r="C11" s="55" t="s">
        <v>13</v>
      </c>
      <c r="D11" s="72" t="s">
        <v>501</v>
      </c>
      <c r="E11" s="73"/>
      <c r="F11" s="73"/>
      <c r="G11" s="73"/>
      <c r="H11" s="74"/>
      <c r="I11" s="50" t="e">
        <f>(L11-110)*$K$3/$K$2</f>
        <v>#DIV/0!</v>
      </c>
      <c r="J11" s="71"/>
      <c r="K11" s="47" t="s">
        <v>502</v>
      </c>
      <c r="L11" s="52">
        <f>输入信息!J18</f>
        <v>0</v>
      </c>
      <c r="M11" s="75" t="s">
        <v>503</v>
      </c>
      <c r="N11" s="75"/>
      <c r="O11" s="75"/>
      <c r="P11" s="75"/>
      <c r="Q11" s="75"/>
      <c r="R11" s="75"/>
      <c r="S11" s="75"/>
      <c r="T11" s="75"/>
      <c r="U11" s="75"/>
    </row>
    <row r="12" s="1" customFormat="1" ht="40" customHeight="1" spans="1:21">
      <c r="A12" s="47">
        <v>2.2</v>
      </c>
      <c r="B12" s="48" t="s">
        <v>504</v>
      </c>
      <c r="C12" s="48"/>
      <c r="D12" s="49"/>
      <c r="E12" s="49"/>
      <c r="F12" s="49"/>
      <c r="G12" s="49"/>
      <c r="H12" s="49"/>
      <c r="I12" s="47"/>
      <c r="J12" s="71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</row>
    <row r="13" s="1" customFormat="1" ht="40" customHeight="1" spans="1:21">
      <c r="A13" s="47" t="s">
        <v>37</v>
      </c>
      <c r="B13" s="48" t="s">
        <v>505</v>
      </c>
      <c r="C13" s="48" t="s">
        <v>384</v>
      </c>
      <c r="D13" s="72" t="s">
        <v>506</v>
      </c>
      <c r="E13" s="73"/>
      <c r="F13" s="73"/>
      <c r="G13" s="73"/>
      <c r="H13" s="74"/>
      <c r="I13" s="50" t="e">
        <f>(K15-K17)*6500/10000/$K$2*10</f>
        <v>#DIV/0!</v>
      </c>
      <c r="J13" s="71"/>
      <c r="K13" s="54" t="s">
        <v>507</v>
      </c>
      <c r="L13" s="54"/>
      <c r="M13" s="54"/>
      <c r="N13" s="54"/>
      <c r="O13" s="54"/>
      <c r="P13" s="76"/>
      <c r="Q13" s="76"/>
      <c r="R13" s="76"/>
      <c r="S13" s="57"/>
      <c r="T13" s="57"/>
      <c r="U13" s="57"/>
    </row>
    <row r="14" s="1" customFormat="1" ht="40" customHeight="1" spans="1:21">
      <c r="A14" s="47" t="s">
        <v>39</v>
      </c>
      <c r="B14" s="48" t="s">
        <v>508</v>
      </c>
      <c r="C14" s="48" t="s">
        <v>481</v>
      </c>
      <c r="D14" s="49">
        <v>60</v>
      </c>
      <c r="E14" s="49">
        <v>58</v>
      </c>
      <c r="F14" s="49">
        <v>56</v>
      </c>
      <c r="G14" s="49">
        <v>53</v>
      </c>
      <c r="H14" s="49">
        <v>50</v>
      </c>
      <c r="I14" s="50" t="e">
        <f>IF(M15&lt;60,D14,IF(M15&gt;1200,H14,INDEX(D14:H14,MATCH(K2,D4:H4,1))+(INDEX(D14:H14,MATCH(K2,D4:H4,1)+1)-INDEX(D14:H14,MATCH(K2,D4:H4,1)))*(K2-INDEX(D4:H4,MATCH(K2,D4:H4,1)))/(INDEX(D4:H4,MATCH(K2,D4:H4,1)+1)-INDEX(D4:H4,MATCH(K2,D4:H4,1)))))*M15/K2</f>
        <v>#DIV/0!</v>
      </c>
      <c r="J14" s="77"/>
      <c r="K14" s="43" t="s">
        <v>509</v>
      </c>
      <c r="L14" s="43" t="s">
        <v>510</v>
      </c>
      <c r="M14" s="43" t="s">
        <v>511</v>
      </c>
      <c r="N14" s="43" t="s">
        <v>512</v>
      </c>
      <c r="O14" s="43" t="s">
        <v>513</v>
      </c>
      <c r="P14" s="57"/>
      <c r="Q14" s="57"/>
      <c r="R14" s="57"/>
      <c r="S14" s="57"/>
      <c r="T14" s="57"/>
      <c r="U14" s="57"/>
    </row>
    <row r="15" s="1" customFormat="1" ht="40" customHeight="1" spans="1:21">
      <c r="A15" s="47" t="s">
        <v>41</v>
      </c>
      <c r="B15" s="48" t="s">
        <v>514</v>
      </c>
      <c r="C15" s="48" t="s">
        <v>481</v>
      </c>
      <c r="D15" s="49">
        <v>160</v>
      </c>
      <c r="E15" s="49">
        <v>155</v>
      </c>
      <c r="F15" s="49">
        <v>150</v>
      </c>
      <c r="G15" s="49">
        <v>135</v>
      </c>
      <c r="H15" s="49">
        <v>130</v>
      </c>
      <c r="I15" s="50" t="e">
        <f>IF(N15&lt;60,D15,IF(N15&gt;1200,H15,INDEX(D15:H15,MATCH(K2,D4:H4,1))+(INDEX(D15:H15,MATCH(K2,D4:H4,1)+1)-INDEX(D15:H15,MATCH(K2,D4:H4,1)))*(K2-INDEX(D4:H4,MATCH(K2,D4:H4,1)))/(INDEX(D4:H4,MATCH(K2,D4:H4,1)+1)-INDEX(D4:H4,MATCH(K2,D4:H4,1)))))*N15/K2</f>
        <v>#DIV/0!</v>
      </c>
      <c r="J15" s="71"/>
      <c r="K15" s="52">
        <f>输入信息!J19</f>
        <v>0</v>
      </c>
      <c r="L15" s="50">
        <f>K2-M15-N15-O15</f>
        <v>0</v>
      </c>
      <c r="M15" s="52">
        <f>输入信息!J20</f>
        <v>0</v>
      </c>
      <c r="N15" s="52">
        <f>输入信息!J21</f>
        <v>0</v>
      </c>
      <c r="O15" s="52">
        <f>输入信息!J22</f>
        <v>0</v>
      </c>
      <c r="P15" s="57"/>
      <c r="Q15" s="57"/>
      <c r="R15" s="57"/>
      <c r="S15" s="57"/>
      <c r="T15" s="57"/>
      <c r="U15" s="57"/>
    </row>
    <row r="16" s="1" customFormat="1" ht="40" customHeight="1" spans="1:21">
      <c r="A16" s="47" t="s">
        <v>43</v>
      </c>
      <c r="B16" s="48" t="s">
        <v>515</v>
      </c>
      <c r="C16" s="48" t="s">
        <v>481</v>
      </c>
      <c r="D16" s="49">
        <v>400</v>
      </c>
      <c r="E16" s="49">
        <v>380</v>
      </c>
      <c r="F16" s="49">
        <v>360</v>
      </c>
      <c r="G16" s="49">
        <v>340</v>
      </c>
      <c r="H16" s="49">
        <v>320</v>
      </c>
      <c r="I16" s="50" t="e">
        <f>IF(O15&lt;60,D16,IF(O15&gt;1200,H16,INDEX(D16:H16,MATCH(K2,D4:H4,1))+(INDEX(D16:H16,MATCH(K2,D4:H4,1)+1)-INDEX(D16:H16,MATCH(K2,D4:H4,1)))*(K2-INDEX(D4:H4,MATCH(K2,D4:H4,1)))/(INDEX(D4:H4,MATCH(K2,D4:H4,1)+1)-INDEX(D4:H4,MATCH(K2,D4:H4,1)))))*O15/K2</f>
        <v>#DIV/0!</v>
      </c>
      <c r="J16" s="71"/>
      <c r="K16" s="47" t="s">
        <v>516</v>
      </c>
      <c r="L16" s="57"/>
      <c r="M16" s="57"/>
      <c r="N16" s="57"/>
      <c r="O16" s="57"/>
      <c r="P16" s="57"/>
      <c r="Q16" s="57"/>
      <c r="R16" s="57"/>
      <c r="S16" s="57"/>
      <c r="T16" s="57"/>
      <c r="U16" s="57"/>
    </row>
    <row r="17" s="1" customFormat="1" ht="40" customHeight="1" spans="1:21">
      <c r="A17" s="47">
        <v>2.3</v>
      </c>
      <c r="B17" s="48" t="s">
        <v>517</v>
      </c>
      <c r="C17" s="48"/>
      <c r="D17" s="49"/>
      <c r="E17" s="49"/>
      <c r="F17" s="49"/>
      <c r="G17" s="49"/>
      <c r="H17" s="49"/>
      <c r="I17" s="47"/>
      <c r="J17" s="71"/>
      <c r="K17" s="50">
        <f>L15/15*544</f>
        <v>0</v>
      </c>
      <c r="L17" s="57"/>
      <c r="M17" s="57"/>
      <c r="N17" s="57"/>
      <c r="O17" s="57"/>
      <c r="P17" s="57"/>
      <c r="Q17" s="57"/>
      <c r="R17" s="57"/>
      <c r="S17" s="57"/>
      <c r="T17" s="57"/>
      <c r="U17" s="57"/>
    </row>
    <row r="18" s="1" customFormat="1" ht="40" customHeight="1" spans="1:21">
      <c r="A18" s="47" t="s">
        <v>53</v>
      </c>
      <c r="B18" s="48" t="s">
        <v>518</v>
      </c>
      <c r="C18" s="48" t="s">
        <v>481</v>
      </c>
      <c r="D18" s="49">
        <v>-30</v>
      </c>
      <c r="E18" s="49"/>
      <c r="F18" s="49"/>
      <c r="G18" s="49"/>
      <c r="H18" s="49"/>
      <c r="I18" s="50">
        <f>IF(K20="集中式逆变器",D18,0)</f>
        <v>0</v>
      </c>
      <c r="J18" s="71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</row>
    <row r="19" s="1" customFormat="1" ht="40" customHeight="1" spans="1:21">
      <c r="A19" s="78">
        <v>2.4</v>
      </c>
      <c r="B19" s="79" t="s">
        <v>519</v>
      </c>
      <c r="C19" s="80" t="s">
        <v>144</v>
      </c>
      <c r="D19" s="73"/>
      <c r="E19" s="73"/>
      <c r="F19" s="73"/>
      <c r="G19" s="73"/>
      <c r="H19" s="74"/>
      <c r="I19" s="78"/>
      <c r="J19" s="71"/>
      <c r="K19" s="47" t="s">
        <v>520</v>
      </c>
      <c r="L19" s="47" t="s">
        <v>521</v>
      </c>
      <c r="M19" s="57"/>
      <c r="N19" s="57"/>
      <c r="O19" s="57"/>
      <c r="P19" s="57"/>
      <c r="Q19" s="57"/>
      <c r="R19" s="57"/>
      <c r="S19" s="57"/>
      <c r="T19" s="57"/>
      <c r="U19" s="57"/>
    </row>
    <row r="20" s="1" customFormat="1" ht="40" customHeight="1" spans="1:21">
      <c r="A20" s="43"/>
      <c r="B20" s="41"/>
      <c r="C20" s="48"/>
      <c r="D20" s="49" t="s">
        <v>12</v>
      </c>
      <c r="E20" s="49"/>
      <c r="F20" s="49"/>
      <c r="G20" s="49" t="s">
        <v>16</v>
      </c>
      <c r="H20" s="49"/>
      <c r="I20" s="43"/>
      <c r="J20" s="71"/>
      <c r="K20" s="81">
        <f>输入信息!J23</f>
        <v>0</v>
      </c>
      <c r="L20" s="47" t="s">
        <v>522</v>
      </c>
      <c r="M20" s="57"/>
      <c r="N20" s="57"/>
      <c r="O20" s="57"/>
      <c r="P20" s="57"/>
      <c r="Q20" s="57"/>
      <c r="R20" s="57"/>
      <c r="S20" s="57"/>
      <c r="T20" s="57"/>
      <c r="U20" s="57"/>
    </row>
    <row r="21" s="1" customFormat="1" ht="40" customHeight="1" spans="1:21">
      <c r="A21" s="47" t="s">
        <v>64</v>
      </c>
      <c r="B21" s="48" t="s">
        <v>397</v>
      </c>
      <c r="C21" s="48" t="s">
        <v>66</v>
      </c>
      <c r="D21" s="49">
        <v>135</v>
      </c>
      <c r="E21" s="49"/>
      <c r="F21" s="49"/>
      <c r="G21" s="49">
        <v>155</v>
      </c>
      <c r="H21" s="49"/>
      <c r="I21" s="50">
        <f>IF(O35="否",(L24-N24)*IF(I$6="平原",D21,G21)/10000/$K$2*10,0)</f>
        <v>0</v>
      </c>
      <c r="J21" s="71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</row>
    <row r="22" s="1" customFormat="1" ht="40" customHeight="1" spans="1:21">
      <c r="A22" s="47" t="s">
        <v>67</v>
      </c>
      <c r="B22" s="48" t="s">
        <v>403</v>
      </c>
      <c r="C22" s="48" t="s">
        <v>66</v>
      </c>
      <c r="D22" s="49">
        <v>150</v>
      </c>
      <c r="E22" s="49"/>
      <c r="F22" s="49"/>
      <c r="G22" s="49">
        <v>170</v>
      </c>
      <c r="H22" s="49"/>
      <c r="I22" s="50">
        <f>IF(O35="否",IF(I$6="平原",D22,G22)/10000*L25/$K$2*10,0)</f>
        <v>0</v>
      </c>
      <c r="J22" s="77"/>
      <c r="K22" s="54" t="s">
        <v>523</v>
      </c>
      <c r="L22" s="54"/>
      <c r="M22" s="54"/>
      <c r="N22" s="54"/>
      <c r="O22" s="57"/>
      <c r="P22" s="57"/>
      <c r="Q22" s="57"/>
      <c r="R22" s="57"/>
      <c r="S22" s="57"/>
      <c r="T22" s="57"/>
      <c r="U22" s="57"/>
    </row>
    <row r="23" s="1" customFormat="1" ht="40" customHeight="1" spans="1:21">
      <c r="A23" s="47" t="s">
        <v>69</v>
      </c>
      <c r="B23" s="48" t="s">
        <v>405</v>
      </c>
      <c r="C23" s="48" t="s">
        <v>66</v>
      </c>
      <c r="D23" s="49">
        <v>150</v>
      </c>
      <c r="E23" s="49"/>
      <c r="F23" s="49"/>
      <c r="G23" s="49">
        <v>185</v>
      </c>
      <c r="H23" s="49"/>
      <c r="I23" s="50">
        <f>IF(O35="否",IF(I$6="平原",D23,G23)/10000*L26/$K$2*10,0)</f>
        <v>0</v>
      </c>
      <c r="J23" s="77"/>
      <c r="K23" s="47" t="s">
        <v>524</v>
      </c>
      <c r="L23" s="47" t="s">
        <v>525</v>
      </c>
      <c r="M23" s="47" t="s">
        <v>526</v>
      </c>
      <c r="N23" s="47" t="s">
        <v>527</v>
      </c>
      <c r="O23" s="57"/>
      <c r="P23" s="57"/>
      <c r="Q23" s="57"/>
      <c r="R23" s="57"/>
      <c r="S23" s="57"/>
      <c r="T23" s="57"/>
      <c r="U23" s="57"/>
    </row>
    <row r="24" s="1" customFormat="1" ht="40" customHeight="1" spans="1:21">
      <c r="A24" s="47" t="s">
        <v>71</v>
      </c>
      <c r="B24" s="48" t="s">
        <v>408</v>
      </c>
      <c r="C24" s="48" t="s">
        <v>66</v>
      </c>
      <c r="D24" s="49">
        <v>200</v>
      </c>
      <c r="E24" s="49"/>
      <c r="F24" s="49"/>
      <c r="G24" s="49">
        <v>240</v>
      </c>
      <c r="H24" s="49"/>
      <c r="I24" s="50">
        <f>IF(O35="否",IF(I$6="平原",D24,G24)/10000*L27/$K$2*10,0)</f>
        <v>0</v>
      </c>
      <c r="J24" s="77"/>
      <c r="K24" s="54" t="s">
        <v>528</v>
      </c>
      <c r="L24" s="52">
        <f>输入信息!J24</f>
        <v>0</v>
      </c>
      <c r="M24" s="52">
        <f>输入信息!J25</f>
        <v>0</v>
      </c>
      <c r="N24" s="50">
        <f>M24/24*31533</f>
        <v>0</v>
      </c>
      <c r="O24" s="75" t="s">
        <v>529</v>
      </c>
      <c r="P24" s="75"/>
      <c r="Q24" s="75"/>
      <c r="R24" s="75"/>
      <c r="S24" s="75"/>
      <c r="T24" s="75"/>
      <c r="U24" s="75"/>
    </row>
    <row r="25" s="1" customFormat="1" ht="40" customHeight="1" spans="1:21">
      <c r="A25" s="47" t="s">
        <v>73</v>
      </c>
      <c r="B25" s="48" t="s">
        <v>410</v>
      </c>
      <c r="C25" s="48" t="s">
        <v>66</v>
      </c>
      <c r="D25" s="49">
        <v>250</v>
      </c>
      <c r="E25" s="49"/>
      <c r="F25" s="49"/>
      <c r="G25" s="49">
        <v>310</v>
      </c>
      <c r="H25" s="49"/>
      <c r="I25" s="50">
        <f>IF(O35="否",IF(I$6="平原",D25,G25)/10000*L28/$K$2*10,0)</f>
        <v>0</v>
      </c>
      <c r="J25" s="77"/>
      <c r="K25" s="43" t="s">
        <v>403</v>
      </c>
      <c r="L25" s="52">
        <f>输入信息!J26</f>
        <v>0</v>
      </c>
      <c r="M25" s="61"/>
      <c r="N25" s="57"/>
      <c r="O25" s="57"/>
      <c r="P25" s="57"/>
      <c r="Q25" s="57"/>
      <c r="R25" s="57"/>
      <c r="S25" s="57"/>
      <c r="T25" s="57"/>
      <c r="U25" s="57"/>
    </row>
    <row r="26" s="1" customFormat="1" ht="40" customHeight="1" spans="1:21">
      <c r="A26" s="47" t="s">
        <v>530</v>
      </c>
      <c r="B26" s="48" t="s">
        <v>412</v>
      </c>
      <c r="C26" s="48" t="s">
        <v>66</v>
      </c>
      <c r="D26" s="49">
        <v>300</v>
      </c>
      <c r="E26" s="49"/>
      <c r="F26" s="49"/>
      <c r="G26" s="49">
        <v>390</v>
      </c>
      <c r="H26" s="49"/>
      <c r="I26" s="50">
        <f>IF(O35="否",IF(I$6="平原",D26,G26)/10000*L29/$K$2*10,0)</f>
        <v>0</v>
      </c>
      <c r="J26" s="77"/>
      <c r="K26" s="43" t="s">
        <v>405</v>
      </c>
      <c r="L26" s="52">
        <f>输入信息!J27</f>
        <v>0</v>
      </c>
      <c r="M26" s="61"/>
      <c r="N26" s="57"/>
      <c r="O26" s="57"/>
      <c r="P26" s="57"/>
      <c r="Q26" s="57"/>
      <c r="R26" s="57"/>
      <c r="S26" s="57"/>
      <c r="T26" s="57"/>
      <c r="U26" s="57"/>
    </row>
    <row r="27" s="1" customFormat="1" ht="40" customHeight="1" spans="1:21">
      <c r="A27" s="47" t="s">
        <v>531</v>
      </c>
      <c r="B27" s="48" t="s">
        <v>414</v>
      </c>
      <c r="C27" s="48" t="s">
        <v>66</v>
      </c>
      <c r="D27" s="49">
        <v>126</v>
      </c>
      <c r="E27" s="49"/>
      <c r="F27" s="49"/>
      <c r="G27" s="49">
        <v>146</v>
      </c>
      <c r="H27" s="49"/>
      <c r="I27" s="50">
        <f>IF(O35="否",IF(I$6="平原",D27,G27)/10000*L30/$K$2*10,0)</f>
        <v>0</v>
      </c>
      <c r="J27" s="77"/>
      <c r="K27" s="43" t="s">
        <v>408</v>
      </c>
      <c r="L27" s="52">
        <f>输入信息!J28</f>
        <v>0</v>
      </c>
      <c r="M27" s="61"/>
      <c r="N27" s="57"/>
      <c r="O27" s="57"/>
      <c r="P27" s="57"/>
      <c r="Q27" s="57"/>
      <c r="R27" s="57"/>
      <c r="S27" s="57"/>
      <c r="T27" s="57"/>
      <c r="U27" s="57"/>
    </row>
    <row r="28" s="1" customFormat="1" ht="40" customHeight="1" spans="1:21">
      <c r="A28" s="47">
        <v>2.5</v>
      </c>
      <c r="B28" s="48" t="s">
        <v>417</v>
      </c>
      <c r="C28" s="48" t="s">
        <v>481</v>
      </c>
      <c r="D28" s="49">
        <v>68</v>
      </c>
      <c r="E28" s="49"/>
      <c r="F28" s="49"/>
      <c r="G28" s="49"/>
      <c r="H28" s="49"/>
      <c r="I28" s="50">
        <f>IF(K35="是",D28,0)</f>
        <v>0</v>
      </c>
      <c r="J28" s="77"/>
      <c r="K28" s="43" t="s">
        <v>410</v>
      </c>
      <c r="L28" s="52">
        <f>输入信息!J29</f>
        <v>0</v>
      </c>
      <c r="M28" s="61"/>
      <c r="N28" s="57"/>
      <c r="O28" s="57"/>
      <c r="P28" s="57"/>
      <c r="Q28" s="57"/>
      <c r="R28" s="57"/>
      <c r="S28" s="57"/>
      <c r="T28" s="57"/>
      <c r="U28" s="57"/>
    </row>
    <row r="29" s="1" customFormat="1" ht="96" customHeight="1" spans="1:21">
      <c r="A29" s="47">
        <v>2.6</v>
      </c>
      <c r="B29" s="48" t="s">
        <v>421</v>
      </c>
      <c r="C29" s="48" t="s">
        <v>481</v>
      </c>
      <c r="D29" s="49">
        <v>189</v>
      </c>
      <c r="E29" s="49"/>
      <c r="F29" s="49"/>
      <c r="G29" s="49"/>
      <c r="H29" s="49"/>
      <c r="I29" s="50">
        <f>IF(L35="是",D29,0)</f>
        <v>0</v>
      </c>
      <c r="J29" s="71"/>
      <c r="K29" s="43" t="s">
        <v>412</v>
      </c>
      <c r="L29" s="52">
        <f>输入信息!J30</f>
        <v>0</v>
      </c>
      <c r="M29" s="61"/>
      <c r="N29" s="57"/>
      <c r="O29" s="57"/>
      <c r="P29" s="57"/>
      <c r="Q29" s="57"/>
      <c r="R29" s="57"/>
      <c r="S29" s="57"/>
      <c r="T29" s="57"/>
      <c r="U29" s="57"/>
    </row>
    <row r="30" s="1" customFormat="1" ht="89" customHeight="1" spans="1:21">
      <c r="A30" s="47">
        <v>2.7</v>
      </c>
      <c r="B30" s="48" t="s">
        <v>424</v>
      </c>
      <c r="C30" s="48" t="s">
        <v>481</v>
      </c>
      <c r="D30" s="49">
        <v>264</v>
      </c>
      <c r="E30" s="49"/>
      <c r="F30" s="49"/>
      <c r="G30" s="49"/>
      <c r="H30" s="49"/>
      <c r="I30" s="50">
        <f>IF(M35="是",D30,0)</f>
        <v>0</v>
      </c>
      <c r="J30" s="71"/>
      <c r="K30" s="43" t="s">
        <v>414</v>
      </c>
      <c r="L30" s="52">
        <f>输入信息!J31</f>
        <v>0</v>
      </c>
      <c r="M30" s="61"/>
      <c r="N30" s="57"/>
      <c r="O30" s="57"/>
      <c r="P30" s="57"/>
      <c r="Q30" s="57"/>
      <c r="R30" s="57"/>
      <c r="S30" s="57"/>
      <c r="T30" s="57"/>
      <c r="U30" s="57"/>
    </row>
    <row r="31" s="1" customFormat="1" ht="40" customHeight="1" spans="1:21">
      <c r="A31" s="47">
        <v>2.8</v>
      </c>
      <c r="B31" s="48" t="s">
        <v>427</v>
      </c>
      <c r="C31" s="48" t="s">
        <v>481</v>
      </c>
      <c r="D31" s="49">
        <v>290</v>
      </c>
      <c r="E31" s="49"/>
      <c r="F31" s="49"/>
      <c r="G31" s="49"/>
      <c r="H31" s="49"/>
      <c r="I31" s="50">
        <f>IF(N35="是",D31,0)</f>
        <v>0</v>
      </c>
      <c r="J31" s="71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</row>
    <row r="32" s="1" customFormat="1" ht="40" customHeight="1" spans="1:21">
      <c r="A32" s="47">
        <v>2.9</v>
      </c>
      <c r="B32" s="48" t="s">
        <v>532</v>
      </c>
      <c r="C32" s="80"/>
      <c r="D32" s="73"/>
      <c r="E32" s="73"/>
      <c r="F32" s="73"/>
      <c r="G32" s="73"/>
      <c r="H32" s="73"/>
      <c r="I32" s="82"/>
      <c r="J32" s="71"/>
      <c r="K32" s="54" t="s">
        <v>533</v>
      </c>
      <c r="L32" s="54"/>
      <c r="M32" s="54"/>
      <c r="N32" s="54"/>
      <c r="O32" s="54"/>
      <c r="P32" s="61"/>
      <c r="Q32" s="57"/>
      <c r="R32" s="57"/>
      <c r="S32" s="57"/>
      <c r="T32" s="57"/>
      <c r="U32" s="57"/>
    </row>
    <row r="33" s="1" customFormat="1" ht="40" customHeight="1" spans="1:21">
      <c r="A33" s="47" t="s">
        <v>139</v>
      </c>
      <c r="B33" s="48" t="s">
        <v>534</v>
      </c>
      <c r="C33" s="48" t="s">
        <v>481</v>
      </c>
      <c r="D33" s="49">
        <v>122</v>
      </c>
      <c r="E33" s="49">
        <v>81</v>
      </c>
      <c r="F33" s="49">
        <v>0</v>
      </c>
      <c r="G33" s="49">
        <v>0</v>
      </c>
      <c r="H33" s="49">
        <v>27</v>
      </c>
      <c r="I33" s="50">
        <f>IF(K38="220kV",IF(K2&lt;60,D33,IF(K2&gt;1200,H33,INDEX(D33:H33,MATCH(K2,D4:H4,1))+(INDEX(D33:H33,MATCH(K2,D4:H4,1)+1)-INDEX(D33:H33,MATCH(K2,D4:H4,1)))*(K2-INDEX(D4:H4,MATCH(K2,D4:H4,1)))/(INDEX(D4:H4,MATCH(K2,D4:H4,1)+1)-INDEX(D4:H4,MATCH(K2,D4:H4,1))))),0)</f>
        <v>0</v>
      </c>
      <c r="J33" s="71"/>
      <c r="K33" s="54" t="s">
        <v>535</v>
      </c>
      <c r="L33" s="54"/>
      <c r="M33" s="54"/>
      <c r="N33" s="54"/>
      <c r="O33" s="54"/>
      <c r="P33" s="57"/>
      <c r="Q33" s="57"/>
      <c r="R33" s="57"/>
      <c r="S33" s="57"/>
      <c r="T33" s="57"/>
      <c r="U33" s="57"/>
    </row>
    <row r="34" s="1" customFormat="1" ht="40" customHeight="1" spans="1:21">
      <c r="A34" s="47" t="s">
        <v>141</v>
      </c>
      <c r="B34" s="48" t="s">
        <v>536</v>
      </c>
      <c r="C34" s="48" t="s">
        <v>481</v>
      </c>
      <c r="D34" s="49" t="s">
        <v>350</v>
      </c>
      <c r="E34" s="49" t="s">
        <v>350</v>
      </c>
      <c r="F34" s="49">
        <v>82</v>
      </c>
      <c r="G34" s="49">
        <v>29</v>
      </c>
      <c r="H34" s="49">
        <v>0</v>
      </c>
      <c r="I34" s="50">
        <f>IF(K38="330kV",IF(K2&lt;240,F34,IF(K2&gt;1200,H34,INDEX(F34:H34,MATCH(K2,F4:H4,1))+(INDEX(F34:H34,MATCH(K2,F4:H4,1)+1)-INDEX(F34:H34,MATCH(K2,F4:H4,1)))*(K2-INDEX(F4:H4,MATCH(K2,F4:H4,1)))/(INDEX(F4:H4,MATCH(K2,F4:H4,1)+1)-INDEX(F4:H4,MATCH(K2,F4:H4,1))))),0)</f>
        <v>0</v>
      </c>
      <c r="J34" s="71"/>
      <c r="K34" s="47" t="s">
        <v>417</v>
      </c>
      <c r="L34" s="47" t="s">
        <v>537</v>
      </c>
      <c r="M34" s="47" t="s">
        <v>538</v>
      </c>
      <c r="N34" s="47" t="s">
        <v>427</v>
      </c>
      <c r="O34" s="47" t="s">
        <v>539</v>
      </c>
      <c r="P34" s="57"/>
      <c r="Q34" s="57"/>
      <c r="R34" s="57"/>
      <c r="S34" s="57"/>
      <c r="T34" s="57"/>
      <c r="U34" s="57"/>
    </row>
    <row r="35" s="1" customFormat="1" ht="40" customHeight="1" spans="1:21">
      <c r="A35" s="47" t="s">
        <v>540</v>
      </c>
      <c r="B35" s="48" t="s">
        <v>541</v>
      </c>
      <c r="C35" s="48" t="s">
        <v>481</v>
      </c>
      <c r="D35" s="49">
        <v>6</v>
      </c>
      <c r="E35" s="49"/>
      <c r="F35" s="49"/>
      <c r="G35" s="49"/>
      <c r="H35" s="49"/>
      <c r="I35" s="50">
        <f>IF(L38="是",D35,0)</f>
        <v>0</v>
      </c>
      <c r="J35" s="71"/>
      <c r="K35" s="52">
        <f>输入信息!J32</f>
        <v>0</v>
      </c>
      <c r="L35" s="52">
        <f>输入信息!J33</f>
        <v>0</v>
      </c>
      <c r="M35" s="52">
        <f>输入信息!J34</f>
        <v>0</v>
      </c>
      <c r="N35" s="52">
        <f>输入信息!J35</f>
        <v>0</v>
      </c>
      <c r="O35" s="50" t="str">
        <f>IF(AND(K35="否",L35="否",M35="否",N35="否"),"否","是")</f>
        <v>是</v>
      </c>
      <c r="P35" s="57"/>
      <c r="Q35" s="57"/>
      <c r="R35" s="57"/>
      <c r="S35" s="57"/>
      <c r="T35" s="57"/>
      <c r="U35" s="57"/>
    </row>
    <row r="36" s="1" customFormat="1" ht="40" customHeight="1" spans="1:21">
      <c r="A36" s="78">
        <v>2.1</v>
      </c>
      <c r="B36" s="79" t="s">
        <v>118</v>
      </c>
      <c r="C36" s="80" t="s">
        <v>119</v>
      </c>
      <c r="D36" s="73"/>
      <c r="E36" s="73"/>
      <c r="F36" s="73"/>
      <c r="G36" s="73"/>
      <c r="H36" s="74"/>
      <c r="I36" s="78"/>
      <c r="J36" s="71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</row>
    <row r="37" s="1" customFormat="1" ht="40" customHeight="1" spans="1:21">
      <c r="A37" s="43"/>
      <c r="B37" s="41"/>
      <c r="C37" s="48"/>
      <c r="D37" s="49" t="s">
        <v>12</v>
      </c>
      <c r="E37" s="49"/>
      <c r="F37" s="49"/>
      <c r="G37" s="49" t="s">
        <v>16</v>
      </c>
      <c r="H37" s="49"/>
      <c r="I37" s="43"/>
      <c r="J37" s="71"/>
      <c r="K37" s="47" t="s">
        <v>542</v>
      </c>
      <c r="L37" s="47" t="s">
        <v>541</v>
      </c>
      <c r="M37" s="57"/>
      <c r="N37" s="57"/>
      <c r="O37" s="57"/>
      <c r="P37" s="57"/>
      <c r="Q37" s="57"/>
      <c r="R37" s="57"/>
      <c r="S37" s="57"/>
      <c r="T37" s="57"/>
      <c r="U37" s="57"/>
    </row>
    <row r="38" s="1" customFormat="1" ht="40" customHeight="1" spans="1:21">
      <c r="A38" s="47" t="s">
        <v>146</v>
      </c>
      <c r="B38" s="48" t="s">
        <v>432</v>
      </c>
      <c r="C38" s="48" t="s">
        <v>82</v>
      </c>
      <c r="D38" s="72">
        <v>280000</v>
      </c>
      <c r="E38" s="73"/>
      <c r="F38" s="74"/>
      <c r="G38" s="72">
        <v>400000</v>
      </c>
      <c r="H38" s="74"/>
      <c r="I38" s="50" t="e">
        <f>(L42-M42*IF(I$6="平原",1,2))*IF(I$6="平原",D38,G38)/10000/$K$2*10</f>
        <v>#DIV/0!</v>
      </c>
      <c r="J38" s="71"/>
      <c r="K38" s="52">
        <f>输入信息!J36</f>
        <v>0</v>
      </c>
      <c r="L38" s="52">
        <f>输入信息!J37</f>
        <v>0</v>
      </c>
      <c r="M38" s="57"/>
      <c r="N38" s="57"/>
      <c r="O38" s="57"/>
      <c r="P38" s="57"/>
      <c r="Q38" s="57"/>
      <c r="R38" s="57"/>
      <c r="S38" s="57"/>
      <c r="T38" s="57"/>
      <c r="U38" s="57"/>
    </row>
    <row r="39" s="1" customFormat="1" ht="40" customHeight="1" spans="1:21">
      <c r="A39" s="47" t="s">
        <v>148</v>
      </c>
      <c r="B39" s="48" t="s">
        <v>543</v>
      </c>
      <c r="C39" s="48" t="s">
        <v>82</v>
      </c>
      <c r="D39" s="72">
        <v>100000</v>
      </c>
      <c r="E39" s="73"/>
      <c r="F39" s="74"/>
      <c r="G39" s="72">
        <v>250000</v>
      </c>
      <c r="H39" s="74"/>
      <c r="I39" s="50" t="e">
        <f>K42*IF(I$6="平原",D39,G39)/10000/$K$2*10</f>
        <v>#DIV/0!</v>
      </c>
      <c r="J39" s="7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</row>
    <row r="40" s="1" customFormat="1" ht="40" customHeight="1" spans="1:21">
      <c r="A40" s="47">
        <v>2.11</v>
      </c>
      <c r="B40" s="48" t="s">
        <v>544</v>
      </c>
      <c r="C40" s="48" t="s">
        <v>481</v>
      </c>
      <c r="D40" s="49">
        <v>50</v>
      </c>
      <c r="E40" s="49"/>
      <c r="F40" s="49"/>
      <c r="G40" s="49"/>
      <c r="H40" s="49"/>
      <c r="I40" s="50" t="e">
        <f>(1.2-IF(L45&gt;1.2,1.2,IF(L45&lt;1,1,L45)))/(1.2-1)*D40</f>
        <v>#DIV/0!</v>
      </c>
      <c r="J40" s="77"/>
      <c r="K40" s="54" t="s">
        <v>545</v>
      </c>
      <c r="L40" s="54"/>
      <c r="M40" s="54"/>
      <c r="N40" s="61"/>
      <c r="O40" s="57"/>
      <c r="P40" s="57"/>
      <c r="Q40" s="57"/>
      <c r="R40" s="57"/>
      <c r="S40" s="57"/>
      <c r="T40" s="57"/>
      <c r="U40" s="57"/>
    </row>
    <row r="41" s="1" customFormat="1" ht="40" customHeight="1" spans="1:21">
      <c r="A41" s="47">
        <v>2.12</v>
      </c>
      <c r="B41" s="48" t="s">
        <v>27</v>
      </c>
      <c r="C41" s="80"/>
      <c r="D41" s="73"/>
      <c r="E41" s="73"/>
      <c r="F41" s="73"/>
      <c r="G41" s="73"/>
      <c r="H41" s="73"/>
      <c r="I41" s="82"/>
      <c r="J41" s="77"/>
      <c r="K41" s="47" t="s">
        <v>546</v>
      </c>
      <c r="L41" s="47" t="s">
        <v>547</v>
      </c>
      <c r="M41" s="47" t="s">
        <v>548</v>
      </c>
      <c r="N41" s="57"/>
      <c r="O41" s="57"/>
      <c r="P41" s="57"/>
      <c r="Q41" s="57"/>
      <c r="R41" s="57"/>
      <c r="S41" s="57"/>
      <c r="T41" s="57"/>
      <c r="U41" s="57"/>
    </row>
    <row r="42" s="1" customFormat="1" ht="40" customHeight="1" spans="1:21">
      <c r="A42" s="47" t="s">
        <v>166</v>
      </c>
      <c r="B42" s="48" t="s">
        <v>175</v>
      </c>
      <c r="C42" s="48" t="s">
        <v>481</v>
      </c>
      <c r="D42" s="49" t="s">
        <v>549</v>
      </c>
      <c r="E42" s="49"/>
      <c r="F42" s="49"/>
      <c r="G42" s="49"/>
      <c r="H42" s="49"/>
      <c r="I42" s="50" t="e">
        <f>L47/$K$2*10-165</f>
        <v>#DIV/0!</v>
      </c>
      <c r="J42" s="77"/>
      <c r="K42" s="52">
        <f>输入信息!J39</f>
        <v>0</v>
      </c>
      <c r="L42" s="52">
        <f>输入信息!J38</f>
        <v>0</v>
      </c>
      <c r="M42" s="50">
        <f>K2/200*27*IF(I$6="平原",1,2)</f>
        <v>0</v>
      </c>
      <c r="N42" s="61"/>
      <c r="O42" s="57"/>
      <c r="P42" s="57"/>
      <c r="Q42" s="57"/>
      <c r="R42" s="57"/>
      <c r="S42" s="57"/>
      <c r="T42" s="57"/>
      <c r="U42" s="57"/>
    </row>
    <row r="43" s="1" customFormat="1" ht="40" customHeight="1" spans="1:21">
      <c r="A43" s="47" t="s">
        <v>168</v>
      </c>
      <c r="B43" s="48" t="s">
        <v>178</v>
      </c>
      <c r="C43" s="48" t="s">
        <v>481</v>
      </c>
      <c r="D43" s="49" t="s">
        <v>550</v>
      </c>
      <c r="E43" s="49"/>
      <c r="F43" s="49"/>
      <c r="G43" s="49"/>
      <c r="H43" s="49"/>
      <c r="I43" s="50" t="e">
        <f>L48/$K$2*10-58</f>
        <v>#DIV/0!</v>
      </c>
      <c r="J43" s="77"/>
      <c r="K43" s="75" t="s">
        <v>551</v>
      </c>
      <c r="L43" s="76"/>
      <c r="M43" s="76"/>
      <c r="N43" s="76"/>
      <c r="O43" s="76"/>
      <c r="P43" s="76"/>
      <c r="Q43" s="57"/>
      <c r="R43" s="57"/>
      <c r="S43" s="57"/>
      <c r="T43" s="57"/>
      <c r="U43" s="57"/>
    </row>
    <row r="44" s="1" customFormat="1" ht="105" customHeight="1" spans="1:21">
      <c r="A44" s="47" t="s">
        <v>170</v>
      </c>
      <c r="B44" s="48" t="s">
        <v>552</v>
      </c>
      <c r="C44" s="48" t="s">
        <v>481</v>
      </c>
      <c r="D44" s="47">
        <v>37.5</v>
      </c>
      <c r="E44" s="49"/>
      <c r="F44" s="49"/>
      <c r="G44" s="49"/>
      <c r="H44" s="49"/>
      <c r="I44" s="50">
        <f>IF(P48="是",D44,0)</f>
        <v>0</v>
      </c>
      <c r="J44" s="7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</row>
    <row r="45" s="1" customFormat="1" ht="65" customHeight="1" spans="1:21">
      <c r="A45" s="47" t="s">
        <v>172</v>
      </c>
      <c r="B45" s="48" t="s">
        <v>553</v>
      </c>
      <c r="C45" s="48" t="s">
        <v>481</v>
      </c>
      <c r="D45" s="47">
        <v>37.5</v>
      </c>
      <c r="E45" s="49"/>
      <c r="F45" s="49"/>
      <c r="G45" s="49"/>
      <c r="H45" s="49"/>
      <c r="I45" s="50">
        <f>IF(Q48&gt;3000,IF(Q48&lt;4000,37.5,0),0)</f>
        <v>0</v>
      </c>
      <c r="J45" s="77"/>
      <c r="K45" s="47" t="s">
        <v>554</v>
      </c>
      <c r="L45" s="50" t="e">
        <f>$K$2/$K$3</f>
        <v>#DIV/0!</v>
      </c>
      <c r="M45" s="75" t="s">
        <v>555</v>
      </c>
      <c r="N45" s="75"/>
      <c r="O45" s="75"/>
      <c r="P45" s="75"/>
      <c r="Q45" s="75"/>
      <c r="R45" s="75"/>
      <c r="S45" s="75"/>
      <c r="T45" s="75"/>
      <c r="U45" s="75"/>
    </row>
    <row r="46" s="1" customFormat="1" ht="40" customHeight="1" spans="1:21">
      <c r="A46" s="47" t="s">
        <v>556</v>
      </c>
      <c r="B46" s="48" t="s">
        <v>557</v>
      </c>
      <c r="C46" s="48" t="s">
        <v>481</v>
      </c>
      <c r="D46" s="49">
        <v>50</v>
      </c>
      <c r="E46" s="49"/>
      <c r="F46" s="49"/>
      <c r="G46" s="49"/>
      <c r="H46" s="49"/>
      <c r="I46" s="50">
        <f>IF(Q48&gt;4000,50,0)</f>
        <v>0</v>
      </c>
      <c r="J46" s="77"/>
      <c r="K46" s="61"/>
      <c r="L46" s="61"/>
      <c r="M46" s="61"/>
      <c r="N46" s="57"/>
      <c r="O46" s="57"/>
      <c r="P46" s="57"/>
      <c r="Q46" s="57"/>
      <c r="R46" s="57"/>
      <c r="S46" s="57"/>
      <c r="T46" s="57"/>
      <c r="U46" s="57"/>
    </row>
    <row r="47" s="1" customFormat="1" ht="40" customHeight="1" spans="1:21">
      <c r="A47" s="47" t="s">
        <v>558</v>
      </c>
      <c r="B47" s="48" t="s">
        <v>559</v>
      </c>
      <c r="C47" s="48" t="s">
        <v>481</v>
      </c>
      <c r="D47" s="49">
        <v>95</v>
      </c>
      <c r="E47" s="49">
        <v>95</v>
      </c>
      <c r="F47" s="49">
        <v>80</v>
      </c>
      <c r="G47" s="49">
        <v>50</v>
      </c>
      <c r="H47" s="49" t="s">
        <v>14</v>
      </c>
      <c r="I47" s="50">
        <f>IF(R48="是",IF(K2&lt;60,D47,IF(K2&gt;600,G47,INDEX(D47:G47,MATCH(K2,D4:G4,1))+(INDEX(D47:G47,MATCH(K2,D4:G4,1)+1)-INDEX(D47:G47,MATCH(K2,D4:G4,1)))*(K2-INDEX(D4:G4,MATCH(K2,D4:G4,1)))/(INDEX(D4:G4,MATCH(K2,D4:G4,1)+1)-INDEX(D4:G4,MATCH(K2,D4:G4,1))))),0)</f>
        <v>0</v>
      </c>
      <c r="J47" s="77"/>
      <c r="K47" s="47" t="s">
        <v>560</v>
      </c>
      <c r="L47" s="52">
        <f>输入信息!J40</f>
        <v>0</v>
      </c>
      <c r="M47" s="47" t="s">
        <v>561</v>
      </c>
      <c r="N47" s="47" t="s">
        <v>562</v>
      </c>
      <c r="O47" s="47" t="s">
        <v>563</v>
      </c>
      <c r="P47" s="47" t="s">
        <v>140</v>
      </c>
      <c r="Q47" s="47" t="s">
        <v>564</v>
      </c>
      <c r="R47" s="47" t="s">
        <v>565</v>
      </c>
      <c r="S47" s="57"/>
      <c r="T47" s="57"/>
      <c r="U47" s="57"/>
    </row>
    <row r="48" s="1" customFormat="1" ht="40" customHeight="1" spans="1:21">
      <c r="A48" s="47">
        <v>2.13</v>
      </c>
      <c r="B48" s="55" t="s">
        <v>186</v>
      </c>
      <c r="C48" s="55" t="s">
        <v>185</v>
      </c>
      <c r="D48" s="56" t="s">
        <v>14</v>
      </c>
      <c r="E48" s="56" t="s">
        <v>14</v>
      </c>
      <c r="F48" s="56" t="s">
        <v>14</v>
      </c>
      <c r="G48" s="56" t="s">
        <v>14</v>
      </c>
      <c r="H48" s="56" t="s">
        <v>14</v>
      </c>
      <c r="I48" s="52"/>
      <c r="J48" s="77"/>
      <c r="K48" s="47" t="s">
        <v>566</v>
      </c>
      <c r="L48" s="50">
        <f>SUM(M48:O48)</f>
        <v>0</v>
      </c>
      <c r="M48" s="52">
        <f>输入信息!J41</f>
        <v>0</v>
      </c>
      <c r="N48" s="52">
        <f>输入信息!J42</f>
        <v>0</v>
      </c>
      <c r="O48" s="52">
        <f>输入信息!J43</f>
        <v>0</v>
      </c>
      <c r="P48" s="52">
        <f>输入信息!J44</f>
        <v>0</v>
      </c>
      <c r="Q48" s="52">
        <f>输入信息!J45</f>
        <v>0</v>
      </c>
      <c r="R48" s="52">
        <f>输入信息!J46</f>
        <v>0</v>
      </c>
      <c r="S48" s="57"/>
      <c r="T48" s="57"/>
      <c r="U48" s="57"/>
    </row>
    <row r="49" s="1" customFormat="1" ht="17.25" customHeight="1" spans="1:21">
      <c r="A49" s="83"/>
      <c r="B49" s="84"/>
      <c r="C49" s="84"/>
      <c r="D49" s="85"/>
      <c r="E49" s="85"/>
      <c r="F49" s="85"/>
      <c r="G49" s="85"/>
      <c r="H49" s="85"/>
      <c r="I49" s="83"/>
      <c r="J49" s="86"/>
      <c r="K49" s="87"/>
      <c r="L49" s="87"/>
      <c r="M49" s="83"/>
      <c r="N49" s="83"/>
      <c r="O49" s="83"/>
      <c r="P49" s="83"/>
      <c r="Q49" s="83"/>
      <c r="R49" s="83"/>
      <c r="S49" s="83"/>
      <c r="T49" s="83"/>
      <c r="U49" s="83"/>
    </row>
    <row r="50" s="1" customFormat="1" ht="17.25" customHeight="1" spans="1:21">
      <c r="A50" s="83"/>
      <c r="B50" s="84"/>
      <c r="C50" s="84"/>
      <c r="D50" s="85"/>
      <c r="E50" s="85"/>
      <c r="F50" s="85"/>
      <c r="G50" s="85"/>
      <c r="H50" s="85"/>
      <c r="I50" s="83"/>
      <c r="J50" s="86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</row>
    <row r="51" s="1" customFormat="1" ht="17.25" customHeight="1" spans="1:21">
      <c r="A51" s="83"/>
      <c r="B51" s="84"/>
      <c r="C51" s="84"/>
      <c r="D51" s="85"/>
      <c r="E51" s="85"/>
      <c r="F51" s="85"/>
      <c r="G51" s="85"/>
      <c r="H51" s="85"/>
      <c r="I51" s="83"/>
      <c r="J51" s="86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</row>
    <row r="52" s="1" customFormat="1" ht="17.25" customHeight="1" spans="1:21">
      <c r="A52" s="83"/>
      <c r="B52" s="84"/>
      <c r="C52" s="84"/>
      <c r="D52" s="85"/>
      <c r="E52" s="85"/>
      <c r="F52" s="85"/>
      <c r="G52" s="85"/>
      <c r="H52" s="85"/>
      <c r="I52" s="83"/>
      <c r="J52" s="86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</row>
    <row r="53" s="1" customFormat="1" ht="17.25" customHeight="1" spans="1:21">
      <c r="A53" s="83"/>
      <c r="B53" s="84"/>
      <c r="C53" s="84"/>
      <c r="D53" s="85"/>
      <c r="E53" s="85"/>
      <c r="F53" s="85"/>
      <c r="G53" s="85"/>
      <c r="H53" s="85"/>
      <c r="I53" s="83"/>
      <c r="J53" s="86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</row>
    <row r="54" s="1" customFormat="1" ht="24" customHeight="1" spans="1:21">
      <c r="A54" s="83"/>
      <c r="B54" s="84"/>
      <c r="C54" s="84"/>
      <c r="D54" s="85"/>
      <c r="E54" s="85"/>
      <c r="F54" s="85"/>
      <c r="G54" s="85"/>
      <c r="H54" s="85"/>
      <c r="I54" s="83"/>
      <c r="J54" s="86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</row>
    <row r="55" s="1" customFormat="1" ht="24" customHeight="1" spans="1:21">
      <c r="A55" s="83"/>
      <c r="B55" s="84"/>
      <c r="C55" s="84"/>
      <c r="D55" s="85"/>
      <c r="E55" s="85"/>
      <c r="F55" s="85"/>
      <c r="G55" s="85"/>
      <c r="H55" s="85"/>
      <c r="I55" s="83"/>
      <c r="J55" s="86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</row>
    <row r="56" s="1" customFormat="1" ht="24" customHeight="1" spans="1:21">
      <c r="A56" s="83"/>
      <c r="B56" s="84"/>
      <c r="C56" s="84"/>
      <c r="D56" s="85"/>
      <c r="E56" s="85"/>
      <c r="F56" s="85"/>
      <c r="G56" s="85"/>
      <c r="H56" s="85"/>
      <c r="I56" s="83"/>
      <c r="J56" s="86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</row>
  </sheetData>
  <mergeCells count="68">
    <mergeCell ref="A1:U1"/>
    <mergeCell ref="D2:H2"/>
    <mergeCell ref="S2:U2"/>
    <mergeCell ref="S3:U3"/>
    <mergeCell ref="C5:H5"/>
    <mergeCell ref="J7:K7"/>
    <mergeCell ref="D10:H10"/>
    <mergeCell ref="M10:U10"/>
    <mergeCell ref="D11:H11"/>
    <mergeCell ref="M11:U11"/>
    <mergeCell ref="C12:I12"/>
    <mergeCell ref="D13:H13"/>
    <mergeCell ref="K13:O13"/>
    <mergeCell ref="C17:I17"/>
    <mergeCell ref="D18:H18"/>
    <mergeCell ref="C19:H19"/>
    <mergeCell ref="D20:F20"/>
    <mergeCell ref="G20:H20"/>
    <mergeCell ref="D21:F21"/>
    <mergeCell ref="G21:H21"/>
    <mergeCell ref="D22:F22"/>
    <mergeCell ref="G22:H22"/>
    <mergeCell ref="K22:N22"/>
    <mergeCell ref="D23:F23"/>
    <mergeCell ref="G23:H23"/>
    <mergeCell ref="D24:F24"/>
    <mergeCell ref="G24:H24"/>
    <mergeCell ref="O24:U24"/>
    <mergeCell ref="D25:F25"/>
    <mergeCell ref="G25:H25"/>
    <mergeCell ref="D26:F26"/>
    <mergeCell ref="G26:H26"/>
    <mergeCell ref="D27:F27"/>
    <mergeCell ref="G27:H27"/>
    <mergeCell ref="D28:H28"/>
    <mergeCell ref="D29:H29"/>
    <mergeCell ref="D30:H30"/>
    <mergeCell ref="D31:H31"/>
    <mergeCell ref="C32:I32"/>
    <mergeCell ref="K32:O32"/>
    <mergeCell ref="K33:O33"/>
    <mergeCell ref="D35:H35"/>
    <mergeCell ref="C36:H36"/>
    <mergeCell ref="D37:F37"/>
    <mergeCell ref="G37:H37"/>
    <mergeCell ref="D38:F38"/>
    <mergeCell ref="G38:H38"/>
    <mergeCell ref="D39:F39"/>
    <mergeCell ref="G39:H39"/>
    <mergeCell ref="D40:H40"/>
    <mergeCell ref="K40:M40"/>
    <mergeCell ref="C41:I41"/>
    <mergeCell ref="D42:H42"/>
    <mergeCell ref="D43:H43"/>
    <mergeCell ref="K43:P43"/>
    <mergeCell ref="D44:H44"/>
    <mergeCell ref="D45:H45"/>
    <mergeCell ref="M45:U45"/>
    <mergeCell ref="D46:H46"/>
    <mergeCell ref="A2:A4"/>
    <mergeCell ref="A19:A20"/>
    <mergeCell ref="A36:A37"/>
    <mergeCell ref="B2:B4"/>
    <mergeCell ref="B19:B20"/>
    <mergeCell ref="B36:B37"/>
    <mergeCell ref="I19:I20"/>
    <mergeCell ref="I36:I37"/>
    <mergeCell ref="C8:I9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I15"/>
  <sheetViews>
    <sheetView workbookViewId="0">
      <pane ySplit="4" topLeftCell="A5" activePane="bottomLeft" state="frozen"/>
      <selection/>
      <selection pane="bottomLeft" activeCell="A1" sqref="A1:A4"/>
    </sheetView>
  </sheetViews>
  <sheetFormatPr defaultColWidth="8.83333333333333" defaultRowHeight="13.5"/>
  <cols>
    <col min="1" max="1" width="4.5" style="4" customWidth="1"/>
    <col min="2" max="2" width="17" style="27" customWidth="1"/>
    <col min="3" max="4" width="19.1666666666667" style="28" customWidth="1"/>
    <col min="5" max="5" width="18.6666666666667" style="28" customWidth="1"/>
    <col min="6" max="6" width="19.6666666666667" style="28" customWidth="1"/>
    <col min="7" max="7" width="20.3333333333333" style="28" customWidth="1"/>
    <col min="8" max="8" width="21.1666666666667" style="29" customWidth="1"/>
    <col min="9" max="9" width="23" style="29" customWidth="1"/>
  </cols>
  <sheetData>
    <row r="1" ht="17.25" customHeight="1" spans="1:9">
      <c r="A1" s="30" t="s">
        <v>0</v>
      </c>
      <c r="B1" s="6" t="s">
        <v>187</v>
      </c>
      <c r="C1" s="5" t="s">
        <v>567</v>
      </c>
      <c r="D1" s="5"/>
      <c r="E1" s="5"/>
      <c r="F1" s="5"/>
      <c r="G1" s="5"/>
      <c r="H1" s="5"/>
      <c r="I1" s="5"/>
    </row>
    <row r="2" ht="26.75" customHeight="1" spans="1:9">
      <c r="A2" s="11"/>
      <c r="B2" s="6" t="s">
        <v>568</v>
      </c>
      <c r="C2" s="5" t="s">
        <v>569</v>
      </c>
      <c r="D2" s="5"/>
      <c r="E2" s="5"/>
      <c r="F2" s="5"/>
      <c r="G2" s="5"/>
      <c r="H2" s="5" t="s">
        <v>570</v>
      </c>
      <c r="I2" s="5" t="s">
        <v>571</v>
      </c>
    </row>
    <row r="3" ht="24.75" customHeight="1" spans="1:9">
      <c r="A3" s="11"/>
      <c r="B3" s="6" t="s">
        <v>572</v>
      </c>
      <c r="C3" s="5">
        <v>50</v>
      </c>
      <c r="D3" s="5">
        <v>100</v>
      </c>
      <c r="E3" s="5">
        <v>200</v>
      </c>
      <c r="F3" s="5">
        <v>500</v>
      </c>
      <c r="G3" s="5">
        <v>1000</v>
      </c>
      <c r="H3" s="5">
        <v>5</v>
      </c>
      <c r="I3" s="31">
        <v>82.5</v>
      </c>
    </row>
    <row r="4" ht="24.75" customHeight="1" spans="1:9">
      <c r="A4" s="11"/>
      <c r="B4" s="6" t="s">
        <v>573</v>
      </c>
      <c r="C4" s="5">
        <v>60</v>
      </c>
      <c r="D4" s="5">
        <v>120</v>
      </c>
      <c r="E4" s="5">
        <v>240</v>
      </c>
      <c r="F4" s="5">
        <v>600</v>
      </c>
      <c r="G4" s="5">
        <v>1200</v>
      </c>
      <c r="H4" s="5">
        <v>6</v>
      </c>
      <c r="I4" s="5">
        <v>100</v>
      </c>
    </row>
    <row r="5" ht="24.75" customHeight="1" spans="1:9">
      <c r="A5" s="11" t="s">
        <v>196</v>
      </c>
      <c r="B5" s="6" t="s">
        <v>574</v>
      </c>
      <c r="C5" s="13" t="s">
        <v>575</v>
      </c>
      <c r="D5" s="13"/>
      <c r="E5" s="13"/>
      <c r="F5" s="13"/>
      <c r="G5" s="13"/>
      <c r="H5" s="13"/>
      <c r="I5" s="13"/>
    </row>
    <row r="6" ht="23" customHeight="1" spans="1:9">
      <c r="A6" s="30" t="s">
        <v>208</v>
      </c>
      <c r="B6" s="32" t="s">
        <v>576</v>
      </c>
      <c r="C6" s="13" t="s">
        <v>577</v>
      </c>
      <c r="D6" s="13"/>
      <c r="E6" s="13"/>
      <c r="F6" s="13"/>
      <c r="G6" s="13"/>
      <c r="H6" s="13" t="s">
        <v>577</v>
      </c>
      <c r="I6" s="13"/>
    </row>
    <row r="7" ht="27" customHeight="1" spans="1:9">
      <c r="A7" s="11"/>
      <c r="B7" s="6"/>
      <c r="C7" s="13" t="s">
        <v>578</v>
      </c>
      <c r="D7" s="13" t="s">
        <v>579</v>
      </c>
      <c r="E7" s="13" t="s">
        <v>580</v>
      </c>
      <c r="F7" s="13" t="s">
        <v>581</v>
      </c>
      <c r="G7" s="13" t="s">
        <v>582</v>
      </c>
      <c r="H7" s="7" t="s">
        <v>583</v>
      </c>
      <c r="I7" s="7" t="s">
        <v>584</v>
      </c>
    </row>
    <row r="8" ht="26.75" customHeight="1" spans="1:9">
      <c r="A8" s="30" t="s">
        <v>211</v>
      </c>
      <c r="B8" s="32" t="s">
        <v>585</v>
      </c>
      <c r="C8" s="13" t="s">
        <v>586</v>
      </c>
      <c r="D8" s="13"/>
      <c r="E8" s="13"/>
      <c r="F8" s="13"/>
      <c r="G8" s="13"/>
      <c r="H8" s="13" t="s">
        <v>587</v>
      </c>
      <c r="I8" s="13"/>
    </row>
    <row r="9" ht="39.75" customHeight="1" spans="1:9">
      <c r="A9" s="11"/>
      <c r="B9" s="6"/>
      <c r="C9" s="13" t="s">
        <v>588</v>
      </c>
      <c r="D9" s="13" t="s">
        <v>589</v>
      </c>
      <c r="E9" s="13" t="s">
        <v>590</v>
      </c>
      <c r="F9" s="13" t="s">
        <v>591</v>
      </c>
      <c r="G9" s="13" t="s">
        <v>592</v>
      </c>
      <c r="H9" s="7" t="s">
        <v>593</v>
      </c>
      <c r="I9" s="7" t="s">
        <v>594</v>
      </c>
    </row>
    <row r="10" ht="45" customHeight="1" spans="1:9">
      <c r="A10" s="11" t="s">
        <v>215</v>
      </c>
      <c r="B10" s="6" t="s">
        <v>595</v>
      </c>
      <c r="C10" s="13" t="s">
        <v>596</v>
      </c>
      <c r="D10" s="13"/>
      <c r="E10" s="13"/>
      <c r="F10" s="13"/>
      <c r="G10" s="13"/>
      <c r="H10" s="7" t="s">
        <v>597</v>
      </c>
      <c r="I10" s="7" t="s">
        <v>598</v>
      </c>
    </row>
    <row r="11" ht="37" customHeight="1" spans="1:9">
      <c r="A11" s="11" t="s">
        <v>219</v>
      </c>
      <c r="B11" s="6" t="s">
        <v>220</v>
      </c>
      <c r="C11" s="13" t="s">
        <v>599</v>
      </c>
      <c r="D11" s="13" t="s">
        <v>600</v>
      </c>
      <c r="E11" s="13" t="s">
        <v>601</v>
      </c>
      <c r="F11" s="13" t="s">
        <v>602</v>
      </c>
      <c r="G11" s="13" t="s">
        <v>603</v>
      </c>
      <c r="H11" s="7" t="s">
        <v>604</v>
      </c>
      <c r="I11" s="7" t="s">
        <v>605</v>
      </c>
    </row>
    <row r="12" ht="50" customHeight="1" spans="1:9">
      <c r="A12" s="30" t="s">
        <v>231</v>
      </c>
      <c r="B12" s="32" t="s">
        <v>606</v>
      </c>
      <c r="C12" s="13" t="s">
        <v>607</v>
      </c>
      <c r="D12" s="13"/>
      <c r="E12" s="13"/>
      <c r="F12" s="13"/>
      <c r="G12" s="13"/>
      <c r="H12" s="33" t="s">
        <v>608</v>
      </c>
      <c r="I12" s="33" t="s">
        <v>609</v>
      </c>
    </row>
    <row r="13" ht="45.75" customHeight="1" spans="1:9">
      <c r="A13" s="11"/>
      <c r="B13" s="6"/>
      <c r="C13" s="13" t="s">
        <v>235</v>
      </c>
      <c r="D13" s="13" t="s">
        <v>236</v>
      </c>
      <c r="E13" s="13" t="s">
        <v>237</v>
      </c>
      <c r="F13" s="13" t="s">
        <v>610</v>
      </c>
      <c r="G13" s="13" t="s">
        <v>239</v>
      </c>
      <c r="H13" s="7"/>
      <c r="I13" s="7"/>
    </row>
    <row r="14" ht="32" customHeight="1" spans="1:9">
      <c r="A14" s="30" t="s">
        <v>243</v>
      </c>
      <c r="B14" s="32" t="s">
        <v>611</v>
      </c>
      <c r="C14" s="13" t="s">
        <v>612</v>
      </c>
      <c r="D14" s="13"/>
      <c r="E14" s="13"/>
      <c r="F14" s="13"/>
      <c r="G14" s="13"/>
      <c r="H14" s="7" t="s">
        <v>613</v>
      </c>
      <c r="I14" s="7"/>
    </row>
    <row r="15" ht="39.75" customHeight="1" spans="1:9">
      <c r="A15" s="11"/>
      <c r="B15" s="6"/>
      <c r="C15" s="13" t="s">
        <v>614</v>
      </c>
      <c r="D15" s="13" t="s">
        <v>615</v>
      </c>
      <c r="E15" s="13" t="s">
        <v>616</v>
      </c>
      <c r="F15" s="13" t="s">
        <v>617</v>
      </c>
      <c r="G15" s="13" t="s">
        <v>618</v>
      </c>
      <c r="H15" s="7" t="s">
        <v>619</v>
      </c>
      <c r="I15" s="7" t="s">
        <v>350</v>
      </c>
    </row>
  </sheetData>
  <mergeCells count="22">
    <mergeCell ref="C1:I1"/>
    <mergeCell ref="C2:G2"/>
    <mergeCell ref="C5:I5"/>
    <mergeCell ref="C6:G6"/>
    <mergeCell ref="H6:I6"/>
    <mergeCell ref="C8:G8"/>
    <mergeCell ref="H8:I8"/>
    <mergeCell ref="C10:G10"/>
    <mergeCell ref="C12:G12"/>
    <mergeCell ref="C14:G14"/>
    <mergeCell ref="H14:I14"/>
    <mergeCell ref="A1:A4"/>
    <mergeCell ref="A6:A7"/>
    <mergeCell ref="A8:A9"/>
    <mergeCell ref="A12:A13"/>
    <mergeCell ref="A14:A15"/>
    <mergeCell ref="B6:B7"/>
    <mergeCell ref="B8:B9"/>
    <mergeCell ref="B12:B13"/>
    <mergeCell ref="B14:B15"/>
    <mergeCell ref="H12:H13"/>
    <mergeCell ref="I12:I1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N29"/>
  <sheetViews>
    <sheetView workbookViewId="0">
      <pane ySplit="2" topLeftCell="A3" activePane="bottomLeft" state="frozen"/>
      <selection/>
      <selection pane="bottomLeft" activeCell="A1" sqref="A1:B1"/>
    </sheetView>
  </sheetViews>
  <sheetFormatPr defaultColWidth="8.83333333333333" defaultRowHeight="13.5"/>
  <cols>
    <col min="1" max="1" width="5.5" style="2" customWidth="1"/>
    <col min="2" max="2" width="32.6666666666667" style="3" customWidth="1"/>
    <col min="3" max="8" width="6.5" style="2" customWidth="1"/>
    <col min="9" max="12" width="7.5" style="2" customWidth="1"/>
    <col min="13" max="13" width="7.33333333333333" style="2" customWidth="1"/>
    <col min="14" max="14" width="6.5" style="2" customWidth="1"/>
  </cols>
  <sheetData>
    <row r="1" ht="24.75" customHeight="1" spans="1:14">
      <c r="A1" s="16" t="s">
        <v>126</v>
      </c>
      <c r="B1" s="17"/>
      <c r="C1" s="18" t="s">
        <v>190</v>
      </c>
      <c r="D1" s="18"/>
      <c r="E1" s="19" t="s">
        <v>191</v>
      </c>
      <c r="F1" s="19"/>
      <c r="G1" s="19" t="s">
        <v>192</v>
      </c>
      <c r="H1" s="19"/>
      <c r="I1" s="19" t="s">
        <v>193</v>
      </c>
      <c r="J1" s="19"/>
      <c r="K1" s="19" t="s">
        <v>194</v>
      </c>
      <c r="L1" s="19"/>
      <c r="M1" s="19" t="s">
        <v>620</v>
      </c>
      <c r="N1" s="19"/>
    </row>
    <row r="2" ht="17.25" customHeight="1" spans="1:14">
      <c r="A2" s="20" t="s">
        <v>0</v>
      </c>
      <c r="B2" s="21" t="s">
        <v>621</v>
      </c>
      <c r="C2" s="22" t="s">
        <v>12</v>
      </c>
      <c r="D2" s="22" t="s">
        <v>16</v>
      </c>
      <c r="E2" s="22" t="s">
        <v>12</v>
      </c>
      <c r="F2" s="22" t="s">
        <v>16</v>
      </c>
      <c r="G2" s="22" t="s">
        <v>12</v>
      </c>
      <c r="H2" s="19" t="s">
        <v>16</v>
      </c>
      <c r="I2" s="19" t="s">
        <v>12</v>
      </c>
      <c r="J2" s="19" t="s">
        <v>16</v>
      </c>
      <c r="K2" s="19" t="s">
        <v>12</v>
      </c>
      <c r="L2" s="19" t="s">
        <v>16</v>
      </c>
      <c r="M2" s="19" t="s">
        <v>622</v>
      </c>
      <c r="N2" s="19" t="s">
        <v>623</v>
      </c>
    </row>
    <row r="3" ht="24" customHeight="1" spans="1:14">
      <c r="A3" s="23" t="s">
        <v>196</v>
      </c>
      <c r="B3" s="24" t="s">
        <v>267</v>
      </c>
      <c r="C3" s="25">
        <v>10305</v>
      </c>
      <c r="D3" s="25">
        <v>10571</v>
      </c>
      <c r="E3" s="25">
        <v>19743</v>
      </c>
      <c r="F3" s="25">
        <v>20314</v>
      </c>
      <c r="G3" s="25">
        <v>39213</v>
      </c>
      <c r="H3" s="25">
        <v>40355</v>
      </c>
      <c r="I3" s="25">
        <v>96106</v>
      </c>
      <c r="J3" s="25">
        <v>98593</v>
      </c>
      <c r="K3" s="25">
        <v>189445</v>
      </c>
      <c r="L3" s="25">
        <v>194502</v>
      </c>
      <c r="M3" s="25">
        <v>1216</v>
      </c>
      <c r="N3" s="25">
        <v>19535</v>
      </c>
    </row>
    <row r="4" ht="24" customHeight="1" spans="1:14">
      <c r="A4" s="23">
        <v>1</v>
      </c>
      <c r="B4" s="24" t="s">
        <v>268</v>
      </c>
      <c r="C4" s="25">
        <v>8573</v>
      </c>
      <c r="D4" s="25">
        <v>8839</v>
      </c>
      <c r="E4" s="25">
        <v>17145</v>
      </c>
      <c r="F4" s="25">
        <v>17717</v>
      </c>
      <c r="G4" s="25">
        <v>34291</v>
      </c>
      <c r="H4" s="25">
        <v>35433</v>
      </c>
      <c r="I4" s="25">
        <v>85727</v>
      </c>
      <c r="J4" s="25">
        <v>88214</v>
      </c>
      <c r="K4" s="25">
        <v>171455</v>
      </c>
      <c r="L4" s="25">
        <v>176513</v>
      </c>
      <c r="M4" s="25">
        <v>986</v>
      </c>
      <c r="N4" s="25">
        <v>16541</v>
      </c>
    </row>
    <row r="5" ht="24" customHeight="1" spans="1:14">
      <c r="A5" s="23">
        <v>2</v>
      </c>
      <c r="B5" s="24" t="s">
        <v>271</v>
      </c>
      <c r="C5" s="25">
        <v>864</v>
      </c>
      <c r="D5" s="25">
        <v>864</v>
      </c>
      <c r="E5" s="25">
        <v>1289</v>
      </c>
      <c r="F5" s="25">
        <v>1289</v>
      </c>
      <c r="G5" s="25">
        <v>2527</v>
      </c>
      <c r="H5" s="25">
        <v>2527</v>
      </c>
      <c r="I5" s="25">
        <v>5356</v>
      </c>
      <c r="J5" s="25">
        <v>5356</v>
      </c>
      <c r="K5" s="25">
        <v>9535</v>
      </c>
      <c r="L5" s="25">
        <v>9535</v>
      </c>
      <c r="M5" s="25">
        <v>73</v>
      </c>
      <c r="N5" s="25">
        <v>450</v>
      </c>
    </row>
    <row r="6" ht="24" customHeight="1" spans="1:14">
      <c r="A6" s="23">
        <v>3</v>
      </c>
      <c r="B6" s="24" t="s">
        <v>624</v>
      </c>
      <c r="C6" s="25">
        <v>588</v>
      </c>
      <c r="D6" s="25">
        <v>588</v>
      </c>
      <c r="E6" s="25">
        <v>878</v>
      </c>
      <c r="F6" s="25">
        <v>878</v>
      </c>
      <c r="G6" s="25">
        <v>1721</v>
      </c>
      <c r="H6" s="25">
        <v>1721</v>
      </c>
      <c r="I6" s="25">
        <v>3649</v>
      </c>
      <c r="J6" s="25">
        <v>3649</v>
      </c>
      <c r="K6" s="25">
        <v>6496</v>
      </c>
      <c r="L6" s="25">
        <v>6496</v>
      </c>
      <c r="M6" s="25">
        <v>127</v>
      </c>
      <c r="N6" s="25">
        <v>1659</v>
      </c>
    </row>
    <row r="7" ht="24" customHeight="1" spans="1:14">
      <c r="A7" s="23">
        <v>4</v>
      </c>
      <c r="B7" s="24" t="s">
        <v>273</v>
      </c>
      <c r="C7" s="25">
        <v>101</v>
      </c>
      <c r="D7" s="25">
        <v>101</v>
      </c>
      <c r="E7" s="25">
        <v>150</v>
      </c>
      <c r="F7" s="25">
        <v>150</v>
      </c>
      <c r="G7" s="25">
        <v>294</v>
      </c>
      <c r="H7" s="25">
        <v>294</v>
      </c>
      <c r="I7" s="25">
        <v>623</v>
      </c>
      <c r="J7" s="25">
        <v>623</v>
      </c>
      <c r="K7" s="25">
        <v>1109</v>
      </c>
      <c r="L7" s="25">
        <v>1109</v>
      </c>
      <c r="M7" s="25">
        <v>15</v>
      </c>
      <c r="N7" s="25">
        <v>605</v>
      </c>
    </row>
    <row r="8" ht="24" customHeight="1" spans="1:14">
      <c r="A8" s="23">
        <v>5</v>
      </c>
      <c r="B8" s="24" t="s">
        <v>625</v>
      </c>
      <c r="C8" s="25">
        <v>180</v>
      </c>
      <c r="D8" s="25">
        <v>180</v>
      </c>
      <c r="E8" s="25">
        <v>280</v>
      </c>
      <c r="F8" s="25">
        <v>280</v>
      </c>
      <c r="G8" s="25">
        <v>380</v>
      </c>
      <c r="H8" s="25">
        <v>380</v>
      </c>
      <c r="I8" s="25">
        <v>750</v>
      </c>
      <c r="J8" s="25">
        <v>750</v>
      </c>
      <c r="K8" s="25">
        <v>850</v>
      </c>
      <c r="L8" s="25">
        <v>850</v>
      </c>
      <c r="M8" s="25">
        <v>15</v>
      </c>
      <c r="N8" s="25">
        <v>280</v>
      </c>
    </row>
    <row r="9" ht="24" customHeight="1" spans="1:14">
      <c r="A9" s="23" t="s">
        <v>208</v>
      </c>
      <c r="B9" s="24" t="s">
        <v>274</v>
      </c>
      <c r="C9" s="25">
        <v>2338</v>
      </c>
      <c r="D9" s="25">
        <v>2917</v>
      </c>
      <c r="E9" s="25">
        <v>4304</v>
      </c>
      <c r="F9" s="25">
        <v>5462</v>
      </c>
      <c r="G9" s="25">
        <v>8566</v>
      </c>
      <c r="H9" s="25">
        <v>10882</v>
      </c>
      <c r="I9" s="25">
        <v>20637</v>
      </c>
      <c r="J9" s="25">
        <v>26425</v>
      </c>
      <c r="K9" s="25">
        <v>40317</v>
      </c>
      <c r="L9" s="25">
        <v>51895</v>
      </c>
      <c r="M9" s="25">
        <v>79</v>
      </c>
      <c r="N9" s="25">
        <v>1184</v>
      </c>
    </row>
    <row r="10" ht="24" customHeight="1" spans="1:14">
      <c r="A10" s="23">
        <v>1</v>
      </c>
      <c r="B10" s="24" t="s">
        <v>275</v>
      </c>
      <c r="C10" s="25">
        <v>1402</v>
      </c>
      <c r="D10" s="25">
        <v>1560</v>
      </c>
      <c r="E10" s="25">
        <v>2805</v>
      </c>
      <c r="F10" s="25">
        <v>3120</v>
      </c>
      <c r="G10" s="25">
        <v>5609</v>
      </c>
      <c r="H10" s="25">
        <v>6240</v>
      </c>
      <c r="I10" s="25">
        <v>14023</v>
      </c>
      <c r="J10" s="25">
        <v>15600</v>
      </c>
      <c r="K10" s="25">
        <v>28046</v>
      </c>
      <c r="L10" s="25">
        <v>31199</v>
      </c>
      <c r="M10" s="25">
        <v>51</v>
      </c>
      <c r="N10" s="25">
        <v>474</v>
      </c>
    </row>
    <row r="11" ht="24" customHeight="1" spans="1:14">
      <c r="A11" s="23">
        <v>2</v>
      </c>
      <c r="B11" s="24" t="s">
        <v>277</v>
      </c>
      <c r="C11" s="25">
        <v>145</v>
      </c>
      <c r="D11" s="25">
        <v>145</v>
      </c>
      <c r="E11" s="25">
        <v>216</v>
      </c>
      <c r="F11" s="25">
        <v>216</v>
      </c>
      <c r="G11" s="25">
        <v>424</v>
      </c>
      <c r="H11" s="25">
        <v>424</v>
      </c>
      <c r="I11" s="25">
        <v>899</v>
      </c>
      <c r="J11" s="25">
        <v>899</v>
      </c>
      <c r="K11" s="25">
        <v>1600</v>
      </c>
      <c r="L11" s="25">
        <v>1600</v>
      </c>
      <c r="M11" s="25">
        <v>13</v>
      </c>
      <c r="N11" s="25">
        <v>168</v>
      </c>
    </row>
    <row r="12" ht="24" customHeight="1" spans="1:14">
      <c r="A12" s="23">
        <v>3</v>
      </c>
      <c r="B12" s="24" t="s">
        <v>626</v>
      </c>
      <c r="C12" s="25">
        <v>387</v>
      </c>
      <c r="D12" s="25">
        <v>387</v>
      </c>
      <c r="E12" s="25">
        <v>570</v>
      </c>
      <c r="F12" s="25">
        <v>570</v>
      </c>
      <c r="G12" s="25">
        <v>1116</v>
      </c>
      <c r="H12" s="25">
        <v>1116</v>
      </c>
      <c r="I12" s="25">
        <v>2367</v>
      </c>
      <c r="J12" s="25">
        <v>2367</v>
      </c>
      <c r="K12" s="25">
        <v>4213</v>
      </c>
      <c r="L12" s="25">
        <v>4213</v>
      </c>
      <c r="M12" s="25">
        <v>0</v>
      </c>
      <c r="N12" s="25">
        <v>75</v>
      </c>
    </row>
    <row r="13" ht="24" customHeight="1" spans="1:14">
      <c r="A13" s="23">
        <v>4</v>
      </c>
      <c r="B13" s="24" t="s">
        <v>280</v>
      </c>
      <c r="C13" s="25">
        <v>227</v>
      </c>
      <c r="D13" s="25">
        <v>648</v>
      </c>
      <c r="E13" s="25">
        <v>454</v>
      </c>
      <c r="F13" s="25">
        <v>1296</v>
      </c>
      <c r="G13" s="25">
        <v>907</v>
      </c>
      <c r="H13" s="25">
        <v>2592</v>
      </c>
      <c r="I13" s="25">
        <v>2268</v>
      </c>
      <c r="J13" s="25">
        <v>6480</v>
      </c>
      <c r="K13" s="25">
        <v>4536</v>
      </c>
      <c r="L13" s="25">
        <v>12960</v>
      </c>
      <c r="M13" s="25">
        <v>5</v>
      </c>
      <c r="N13" s="25">
        <v>100</v>
      </c>
    </row>
    <row r="14" ht="24" customHeight="1" spans="1:14">
      <c r="A14" s="23">
        <v>5</v>
      </c>
      <c r="B14" s="24" t="s">
        <v>281</v>
      </c>
      <c r="C14" s="25">
        <v>177</v>
      </c>
      <c r="D14" s="25">
        <v>177</v>
      </c>
      <c r="E14" s="25">
        <v>260</v>
      </c>
      <c r="F14" s="25">
        <v>260</v>
      </c>
      <c r="G14" s="25">
        <v>510</v>
      </c>
      <c r="H14" s="25">
        <v>510</v>
      </c>
      <c r="I14" s="25">
        <v>1080</v>
      </c>
      <c r="J14" s="25">
        <v>1080</v>
      </c>
      <c r="K14" s="25">
        <v>1923</v>
      </c>
      <c r="L14" s="25">
        <v>1923</v>
      </c>
      <c r="M14" s="25">
        <v>10</v>
      </c>
      <c r="N14" s="25">
        <v>367</v>
      </c>
    </row>
    <row r="15" ht="24" customHeight="1" spans="1:14">
      <c r="A15" s="23" t="s">
        <v>211</v>
      </c>
      <c r="B15" s="24" t="s">
        <v>282</v>
      </c>
      <c r="C15" s="25">
        <v>2428</v>
      </c>
      <c r="D15" s="25">
        <v>2457</v>
      </c>
      <c r="E15" s="25">
        <v>4167</v>
      </c>
      <c r="F15" s="25">
        <v>4209</v>
      </c>
      <c r="G15" s="25">
        <v>8257</v>
      </c>
      <c r="H15" s="25">
        <v>8339</v>
      </c>
      <c r="I15" s="25">
        <v>18744</v>
      </c>
      <c r="J15" s="25">
        <v>18909</v>
      </c>
      <c r="K15" s="25">
        <v>37189</v>
      </c>
      <c r="L15" s="25">
        <v>37512</v>
      </c>
      <c r="M15" s="25">
        <v>194</v>
      </c>
      <c r="N15" s="25">
        <v>3001</v>
      </c>
    </row>
    <row r="16" ht="24" customHeight="1" spans="1:14">
      <c r="A16" s="23">
        <v>1</v>
      </c>
      <c r="B16" s="24" t="s">
        <v>627</v>
      </c>
      <c r="C16" s="25">
        <v>1000</v>
      </c>
      <c r="D16" s="25">
        <v>1000</v>
      </c>
      <c r="E16" s="25">
        <v>2000</v>
      </c>
      <c r="F16" s="25">
        <v>2000</v>
      </c>
      <c r="G16" s="25">
        <v>4000</v>
      </c>
      <c r="H16" s="25">
        <v>4000</v>
      </c>
      <c r="I16" s="25">
        <v>10000</v>
      </c>
      <c r="J16" s="25">
        <v>10000</v>
      </c>
      <c r="K16" s="25">
        <v>20000</v>
      </c>
      <c r="L16" s="25">
        <v>20000</v>
      </c>
      <c r="M16" s="25">
        <v>0</v>
      </c>
      <c r="N16" s="25">
        <v>0</v>
      </c>
    </row>
    <row r="17" ht="24" customHeight="1" spans="1:14">
      <c r="A17" s="23">
        <v>2</v>
      </c>
      <c r="B17" s="24" t="s">
        <v>285</v>
      </c>
      <c r="C17" s="25">
        <v>1188</v>
      </c>
      <c r="D17" s="25">
        <v>1216</v>
      </c>
      <c r="E17" s="25">
        <v>1747</v>
      </c>
      <c r="F17" s="25">
        <v>1789</v>
      </c>
      <c r="G17" s="25">
        <v>3424</v>
      </c>
      <c r="H17" s="25">
        <v>3506</v>
      </c>
      <c r="I17" s="25">
        <v>6847</v>
      </c>
      <c r="J17" s="25">
        <v>7012</v>
      </c>
      <c r="K17" s="25">
        <v>13421</v>
      </c>
      <c r="L17" s="25">
        <v>13744</v>
      </c>
      <c r="M17" s="25">
        <v>146</v>
      </c>
      <c r="N17" s="25">
        <v>1934</v>
      </c>
    </row>
    <row r="18" ht="24" customHeight="1" spans="1:14">
      <c r="A18" s="23">
        <v>3</v>
      </c>
      <c r="B18" s="24" t="s">
        <v>286</v>
      </c>
      <c r="C18" s="25">
        <v>82</v>
      </c>
      <c r="D18" s="25">
        <v>82</v>
      </c>
      <c r="E18" s="25">
        <v>120</v>
      </c>
      <c r="F18" s="25">
        <v>120</v>
      </c>
      <c r="G18" s="25">
        <v>235</v>
      </c>
      <c r="H18" s="25">
        <v>235</v>
      </c>
      <c r="I18" s="25">
        <v>471</v>
      </c>
      <c r="J18" s="25">
        <v>471</v>
      </c>
      <c r="K18" s="25">
        <v>922</v>
      </c>
      <c r="L18" s="25">
        <v>922</v>
      </c>
      <c r="M18" s="25">
        <v>8</v>
      </c>
      <c r="N18" s="25">
        <v>217</v>
      </c>
    </row>
    <row r="19" ht="24" customHeight="1" spans="1:14">
      <c r="A19" s="23">
        <v>4</v>
      </c>
      <c r="B19" s="24" t="s">
        <v>628</v>
      </c>
      <c r="C19" s="25">
        <v>125</v>
      </c>
      <c r="D19" s="25">
        <v>125</v>
      </c>
      <c r="E19" s="25">
        <v>250</v>
      </c>
      <c r="F19" s="25">
        <v>250</v>
      </c>
      <c r="G19" s="25">
        <v>500</v>
      </c>
      <c r="H19" s="25">
        <v>500</v>
      </c>
      <c r="I19" s="25">
        <v>1250</v>
      </c>
      <c r="J19" s="25">
        <v>1250</v>
      </c>
      <c r="K19" s="25">
        <v>2500</v>
      </c>
      <c r="L19" s="25">
        <v>2500</v>
      </c>
      <c r="M19" s="25">
        <v>25</v>
      </c>
      <c r="N19" s="25">
        <v>300</v>
      </c>
    </row>
    <row r="20" ht="24" customHeight="1" spans="1:14">
      <c r="A20" s="23">
        <v>5</v>
      </c>
      <c r="B20" s="24" t="s">
        <v>629</v>
      </c>
      <c r="C20" s="25">
        <v>34</v>
      </c>
      <c r="D20" s="25">
        <v>34</v>
      </c>
      <c r="E20" s="25">
        <v>50</v>
      </c>
      <c r="F20" s="25">
        <v>50</v>
      </c>
      <c r="G20" s="25">
        <v>98</v>
      </c>
      <c r="H20" s="25">
        <v>98</v>
      </c>
      <c r="I20" s="25">
        <v>176</v>
      </c>
      <c r="J20" s="25">
        <v>176</v>
      </c>
      <c r="K20" s="25">
        <v>346</v>
      </c>
      <c r="L20" s="25">
        <v>346</v>
      </c>
      <c r="M20" s="25">
        <v>15</v>
      </c>
      <c r="N20" s="25">
        <v>550</v>
      </c>
    </row>
    <row r="21" ht="24" customHeight="1" spans="1:14">
      <c r="A21" s="23"/>
      <c r="B21" s="24" t="s">
        <v>630</v>
      </c>
      <c r="C21" s="25">
        <v>15072</v>
      </c>
      <c r="D21" s="25">
        <v>15945</v>
      </c>
      <c r="E21" s="25">
        <v>28214</v>
      </c>
      <c r="F21" s="25">
        <v>29985</v>
      </c>
      <c r="G21" s="25">
        <v>56036</v>
      </c>
      <c r="H21" s="25">
        <v>59576</v>
      </c>
      <c r="I21" s="25">
        <v>135488</v>
      </c>
      <c r="J21" s="25">
        <v>143927</v>
      </c>
      <c r="K21" s="25">
        <v>266951</v>
      </c>
      <c r="L21" s="25">
        <v>283909</v>
      </c>
      <c r="M21" s="25">
        <v>1489</v>
      </c>
      <c r="N21" s="25">
        <v>23720</v>
      </c>
    </row>
    <row r="22" ht="24" customHeight="1" spans="1:14">
      <c r="A22" s="23" t="s">
        <v>215</v>
      </c>
      <c r="B22" s="24" t="s">
        <v>290</v>
      </c>
      <c r="C22" s="25">
        <v>301</v>
      </c>
      <c r="D22" s="25">
        <v>319</v>
      </c>
      <c r="E22" s="25">
        <v>564</v>
      </c>
      <c r="F22" s="25">
        <v>600</v>
      </c>
      <c r="G22" s="25">
        <v>1121</v>
      </c>
      <c r="H22" s="25">
        <v>1192</v>
      </c>
      <c r="I22" s="25">
        <v>2710</v>
      </c>
      <c r="J22" s="25">
        <v>2879</v>
      </c>
      <c r="K22" s="25">
        <v>5339</v>
      </c>
      <c r="L22" s="25">
        <v>5678</v>
      </c>
      <c r="M22" s="25">
        <v>30</v>
      </c>
      <c r="N22" s="25">
        <v>474</v>
      </c>
    </row>
    <row r="23" ht="24" customHeight="1" spans="1:14">
      <c r="A23" s="23"/>
      <c r="B23" s="24" t="s">
        <v>291</v>
      </c>
      <c r="C23" s="25">
        <v>15373</v>
      </c>
      <c r="D23" s="25">
        <v>16264</v>
      </c>
      <c r="E23" s="25">
        <v>28778</v>
      </c>
      <c r="F23" s="25">
        <v>30584</v>
      </c>
      <c r="G23" s="25">
        <v>57157</v>
      </c>
      <c r="H23" s="25">
        <v>60768</v>
      </c>
      <c r="I23" s="25">
        <v>138197</v>
      </c>
      <c r="J23" s="25">
        <v>146806</v>
      </c>
      <c r="K23" s="25">
        <v>272290</v>
      </c>
      <c r="L23" s="25">
        <v>289587</v>
      </c>
      <c r="M23" s="25">
        <v>1519</v>
      </c>
      <c r="N23" s="25">
        <v>24194</v>
      </c>
    </row>
    <row r="24" ht="24" customHeight="1" spans="1:14">
      <c r="A24" s="23" t="s">
        <v>219</v>
      </c>
      <c r="B24" s="24" t="s">
        <v>631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</row>
    <row r="25" ht="24" customHeight="1" spans="1:14">
      <c r="A25" s="26"/>
      <c r="B25" s="24" t="s">
        <v>632</v>
      </c>
      <c r="C25" s="25">
        <v>15373</v>
      </c>
      <c r="D25" s="25">
        <v>16264</v>
      </c>
      <c r="E25" s="25">
        <v>28778</v>
      </c>
      <c r="F25" s="25">
        <v>30584</v>
      </c>
      <c r="G25" s="25">
        <v>57157</v>
      </c>
      <c r="H25" s="25">
        <v>60768</v>
      </c>
      <c r="I25" s="25">
        <v>138197</v>
      </c>
      <c r="J25" s="25">
        <v>146806</v>
      </c>
      <c r="K25" s="25">
        <v>272290</v>
      </c>
      <c r="L25" s="25">
        <v>289587</v>
      </c>
      <c r="M25" s="25">
        <v>1519</v>
      </c>
      <c r="N25" s="25">
        <v>24194</v>
      </c>
    </row>
    <row r="26" ht="24" customHeight="1" spans="1:14">
      <c r="A26" s="23" t="s">
        <v>219</v>
      </c>
      <c r="B26" s="24" t="s">
        <v>633</v>
      </c>
      <c r="C26" s="25">
        <v>111</v>
      </c>
      <c r="D26" s="25">
        <v>117</v>
      </c>
      <c r="E26" s="25">
        <v>414</v>
      </c>
      <c r="F26" s="25">
        <v>440</v>
      </c>
      <c r="G26" s="25">
        <v>823</v>
      </c>
      <c r="H26" s="25">
        <v>875</v>
      </c>
      <c r="I26" s="25">
        <v>2985</v>
      </c>
      <c r="J26" s="25">
        <v>3171</v>
      </c>
      <c r="K26" s="25">
        <v>7842</v>
      </c>
      <c r="L26" s="25">
        <v>8340</v>
      </c>
      <c r="M26" s="25">
        <v>5</v>
      </c>
      <c r="N26" s="25">
        <v>174</v>
      </c>
    </row>
    <row r="27" ht="24" customHeight="1" spans="1:14">
      <c r="A27" s="23" t="s">
        <v>231</v>
      </c>
      <c r="B27" s="24" t="s">
        <v>293</v>
      </c>
      <c r="C27" s="25">
        <v>15484</v>
      </c>
      <c r="D27" s="25">
        <v>16381</v>
      </c>
      <c r="E27" s="25">
        <v>29192</v>
      </c>
      <c r="F27" s="25">
        <v>31025</v>
      </c>
      <c r="G27" s="25">
        <v>57980</v>
      </c>
      <c r="H27" s="25">
        <v>61643</v>
      </c>
      <c r="I27" s="25">
        <v>141182</v>
      </c>
      <c r="J27" s="25">
        <v>149977</v>
      </c>
      <c r="K27" s="25">
        <v>280132</v>
      </c>
      <c r="L27" s="25">
        <v>297928</v>
      </c>
      <c r="M27" s="25">
        <v>1525</v>
      </c>
      <c r="N27" s="25">
        <v>24368</v>
      </c>
    </row>
    <row r="28" ht="24" customHeight="1" spans="1:14">
      <c r="A28" s="23"/>
      <c r="B28" s="24" t="s">
        <v>634</v>
      </c>
      <c r="C28" s="25">
        <v>2562</v>
      </c>
      <c r="D28" s="25">
        <v>2711</v>
      </c>
      <c r="E28" s="25">
        <v>2398</v>
      </c>
      <c r="F28" s="25">
        <v>2549</v>
      </c>
      <c r="G28" s="25">
        <v>2382</v>
      </c>
      <c r="H28" s="25">
        <v>2532</v>
      </c>
      <c r="I28" s="25">
        <v>2303</v>
      </c>
      <c r="J28" s="25">
        <v>2447</v>
      </c>
      <c r="K28" s="25">
        <v>2269</v>
      </c>
      <c r="L28" s="25">
        <v>2413</v>
      </c>
      <c r="M28" s="25">
        <v>2532</v>
      </c>
      <c r="N28" s="25">
        <v>2419</v>
      </c>
    </row>
    <row r="29" ht="24" customHeight="1" spans="1:14">
      <c r="A29" s="23"/>
      <c r="B29" s="24" t="s">
        <v>635</v>
      </c>
      <c r="C29" s="25">
        <v>2581</v>
      </c>
      <c r="D29" s="25">
        <v>2730</v>
      </c>
      <c r="E29" s="25">
        <v>2433</v>
      </c>
      <c r="F29" s="25">
        <v>2585</v>
      </c>
      <c r="G29" s="25">
        <v>2416</v>
      </c>
      <c r="H29" s="25">
        <v>2568</v>
      </c>
      <c r="I29" s="25">
        <v>2353</v>
      </c>
      <c r="J29" s="25">
        <v>2500</v>
      </c>
      <c r="K29" s="25">
        <v>2334</v>
      </c>
      <c r="L29" s="25">
        <v>2483</v>
      </c>
      <c r="M29" s="25">
        <v>2541</v>
      </c>
      <c r="N29" s="25">
        <v>2437</v>
      </c>
    </row>
  </sheetData>
  <mergeCells count="7">
    <mergeCell ref="A1:B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D1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3333333333333" defaultRowHeight="13.5" outlineLevelCol="3"/>
  <cols>
    <col min="1" max="1" width="5.66666666666667" style="2" customWidth="1"/>
    <col min="2" max="2" width="62.8333333333333" style="3" customWidth="1"/>
    <col min="3" max="3" width="8.83333333333333" style="4" customWidth="1"/>
    <col min="4" max="4" width="12.1666666666667" style="2" customWidth="1"/>
  </cols>
  <sheetData>
    <row r="1" s="1" customFormat="1" ht="21" customHeight="1" spans="1:4">
      <c r="A1" s="5" t="s">
        <v>297</v>
      </c>
      <c r="B1" s="6" t="s">
        <v>636</v>
      </c>
      <c r="C1" s="6" t="s">
        <v>2</v>
      </c>
      <c r="D1" s="5" t="s">
        <v>299</v>
      </c>
    </row>
    <row r="2" s="1" customFormat="1" ht="21" customHeight="1" spans="1:4">
      <c r="A2" s="7">
        <v>1</v>
      </c>
      <c r="B2" s="8" t="s">
        <v>637</v>
      </c>
      <c r="C2" s="9" t="s">
        <v>638</v>
      </c>
      <c r="D2" s="10">
        <v>0.65</v>
      </c>
    </row>
    <row r="3" s="1" customFormat="1" ht="21" customHeight="1" spans="1:4">
      <c r="A3" s="7">
        <v>2</v>
      </c>
      <c r="B3" s="8" t="s">
        <v>639</v>
      </c>
      <c r="C3" s="9" t="s">
        <v>640</v>
      </c>
      <c r="D3" s="10">
        <v>0.11</v>
      </c>
    </row>
    <row r="4" s="1" customFormat="1" ht="21" customHeight="1" spans="1:4">
      <c r="A4" s="7">
        <v>3</v>
      </c>
      <c r="B4" s="8" t="s">
        <v>304</v>
      </c>
      <c r="C4" s="9" t="s">
        <v>305</v>
      </c>
      <c r="D4" s="7">
        <v>100</v>
      </c>
    </row>
    <row r="5" s="1" customFormat="1" ht="21" customHeight="1" spans="1:4">
      <c r="A5" s="7">
        <v>4</v>
      </c>
      <c r="B5" s="8" t="s">
        <v>641</v>
      </c>
      <c r="C5" s="9" t="s">
        <v>55</v>
      </c>
      <c r="D5" s="7">
        <v>200</v>
      </c>
    </row>
    <row r="6" s="1" customFormat="1" ht="21" customHeight="1" spans="1:4">
      <c r="A6" s="7">
        <v>5</v>
      </c>
      <c r="B6" s="8" t="s">
        <v>642</v>
      </c>
      <c r="C6" s="9" t="s">
        <v>55</v>
      </c>
      <c r="D6" s="7">
        <v>350</v>
      </c>
    </row>
    <row r="7" s="1" customFormat="1" ht="21" customHeight="1" spans="1:4">
      <c r="A7" s="7">
        <v>6</v>
      </c>
      <c r="B7" s="8" t="s">
        <v>643</v>
      </c>
      <c r="C7" s="9" t="s">
        <v>55</v>
      </c>
      <c r="D7" s="7">
        <v>580</v>
      </c>
    </row>
    <row r="8" s="1" customFormat="1" ht="21" customHeight="1" spans="1:4">
      <c r="A8" s="7">
        <v>7</v>
      </c>
      <c r="B8" s="8" t="s">
        <v>644</v>
      </c>
      <c r="C8" s="9" t="s">
        <v>55</v>
      </c>
      <c r="D8" s="7">
        <v>800</v>
      </c>
    </row>
    <row r="9" ht="21" customHeight="1" spans="1:4">
      <c r="A9" s="7">
        <v>8</v>
      </c>
      <c r="B9" s="8" t="s">
        <v>310</v>
      </c>
      <c r="C9" s="11" t="s">
        <v>55</v>
      </c>
      <c r="D9" s="12">
        <v>18</v>
      </c>
    </row>
    <row r="10" ht="21" customHeight="1" spans="1:4">
      <c r="A10" s="7">
        <v>9</v>
      </c>
      <c r="B10" s="8" t="s">
        <v>311</v>
      </c>
      <c r="C10" s="11" t="s">
        <v>312</v>
      </c>
      <c r="D10" s="12">
        <v>50</v>
      </c>
    </row>
    <row r="11" s="1" customFormat="1" ht="21.75" customHeight="1" spans="1:4">
      <c r="A11" s="13" t="s">
        <v>645</v>
      </c>
      <c r="B11" s="8"/>
      <c r="C11" s="8"/>
      <c r="D11" s="13"/>
    </row>
    <row r="12" s="1" customFormat="1" ht="21.75" customHeight="1" spans="1:4">
      <c r="A12" s="13"/>
      <c r="B12" s="8"/>
      <c r="C12" s="8"/>
      <c r="D12" s="13"/>
    </row>
    <row r="13" ht="21" customHeight="1" spans="1:4">
      <c r="A13" s="14" t="s">
        <v>297</v>
      </c>
      <c r="B13" s="6" t="s">
        <v>298</v>
      </c>
      <c r="C13" s="15" t="s">
        <v>2</v>
      </c>
      <c r="D13" s="14" t="s">
        <v>299</v>
      </c>
    </row>
    <row r="14" ht="21" customHeight="1" spans="1:4">
      <c r="A14" s="12">
        <v>1</v>
      </c>
      <c r="B14" s="8" t="s">
        <v>505</v>
      </c>
      <c r="C14" s="11" t="s">
        <v>302</v>
      </c>
      <c r="D14" s="12">
        <v>6500</v>
      </c>
    </row>
    <row r="15" ht="21" customHeight="1" spans="1:4">
      <c r="A15" s="12">
        <v>2</v>
      </c>
      <c r="B15" s="8" t="s">
        <v>646</v>
      </c>
      <c r="C15" s="11" t="s">
        <v>302</v>
      </c>
      <c r="D15" s="12">
        <v>22000</v>
      </c>
    </row>
    <row r="16" ht="21" customHeight="1" spans="1:4">
      <c r="A16" s="12">
        <v>3</v>
      </c>
      <c r="B16" s="8" t="s">
        <v>301</v>
      </c>
      <c r="C16" s="11" t="s">
        <v>302</v>
      </c>
      <c r="D16" s="12">
        <v>3800</v>
      </c>
    </row>
    <row r="17" ht="21" customHeight="1" spans="1:4">
      <c r="A17" s="12">
        <v>4</v>
      </c>
      <c r="B17" s="8" t="s">
        <v>303</v>
      </c>
      <c r="C17" s="11" t="s">
        <v>302</v>
      </c>
      <c r="D17" s="12">
        <v>430</v>
      </c>
    </row>
  </sheetData>
  <mergeCells count="1">
    <mergeCell ref="A11:D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Microsoft Macintosh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01风电造价标准调整</vt:lpstr>
      <vt:lpstr>02基本方案</vt:lpstr>
      <vt:lpstr>03造价参考值</vt:lpstr>
      <vt:lpstr>04主要设备价格表</vt:lpstr>
      <vt:lpstr>输入信息</vt:lpstr>
      <vt:lpstr>集中式光伏造价标准调整（2025版）</vt:lpstr>
      <vt:lpstr>12基本方案（2025版）</vt:lpstr>
      <vt:lpstr>13造价参考值（2025版）</vt:lpstr>
      <vt:lpstr>14主要设备价格表（2025版）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刘泓尊</cp:lastModifiedBy>
  <dcterms:created xsi:type="dcterms:W3CDTF">2025-07-28T14:51:00Z</dcterms:created>
  <dcterms:modified xsi:type="dcterms:W3CDTF">2025-12-16T07:57:06Z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E8D7BD270D18407A8AD629FF319A1A21_12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